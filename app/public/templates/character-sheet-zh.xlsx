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ac6ba15774a1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角色卡" sheetId="1" r:id="R16a95ea15ec243b2"/>
    <sheet xmlns:r="http://schemas.openxmlformats.org/officeDocument/2006/relationships" name="人物资料" sheetId="2" r:id="Rba7e771f87744b5c"/>
    <sheet xmlns:r="http://schemas.openxmlformats.org/officeDocument/2006/relationships" name="法术卡" sheetId="3" r:id="R4e21d899f1d0464b"/>
    <sheet xmlns:r="http://schemas.openxmlformats.org/officeDocument/2006/relationships" name="配置数据" sheetId="4" r:id="Rcafa576ecc074933"/>
    <sheet xmlns:r="http://schemas.openxmlformats.org/officeDocument/2006/relationships" name="字段映射" sheetId="5" r:id="Rc2e65f9536ff488d"/>
    <sheet xmlns:r="http://schemas.openxmlformats.org/officeDocument/2006/relationships" name="使用说明" sheetId="6" r:id="Rf60ad4ce82a045b0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3">
    <font>
      <sz val="11"/>
      <name val="Carlito"/>
    </font>
    <font>
      <b/>
      <sz val="11"/>
      <color rgb="FFFFFFFF"/>
      <name val="Microsoft YaHei"/>
    </font>
    <font>
      <b/>
      <sz val="18"/>
      <color rgb="FFFFFFFF"/>
      <name val="Microsoft YaHei"/>
    </font>
    <font>
      <b/>
      <sz val="7"/>
      <color rgb="FF666B73"/>
      <name val="Microsoft YaHei"/>
    </font>
    <font>
      <sz val="13"/>
      <color rgb="FF151515"/>
      <name val="Microsoft YaHei"/>
    </font>
    <font>
      <sz val="10"/>
      <color rgb="FF151515"/>
      <name val="Microsoft YaHei"/>
    </font>
    <font>
      <b/>
      <sz val="9"/>
      <color rgb="FFFFFFFF"/>
      <name val="Microsoft YaHei"/>
    </font>
    <font>
      <b/>
      <sz val="16"/>
      <color rgb="FF151515"/>
      <name val="Microsoft YaHei"/>
    </font>
    <font>
      <b/>
      <sz val="14"/>
      <color rgb="FF151515"/>
      <name val="Microsoft YaHei"/>
    </font>
    <font>
      <sz val="9"/>
      <color rgb="FF151515"/>
      <name val="Microsoft YaHei"/>
    </font>
    <font>
      <b/>
      <sz val="11"/>
      <color rgb="FF151515"/>
      <name val="Microsoft YaHei"/>
    </font>
    <font>
      <b/>
      <sz val="9"/>
      <name val="Microsoft YaHei"/>
    </font>
    <font>
      <sz val="8"/>
      <name val="Microsoft YaHei"/>
    </font>
    <font>
      <b/>
      <sz val="12"/>
      <color rgb="FF151515"/>
      <name val="Microsoft YaHei"/>
    </font>
    <font>
      <b/>
      <sz val="13"/>
      <color rgb="FF151515"/>
      <name val="Microsoft YaHei"/>
    </font>
    <font>
      <b/>
      <sz val="8"/>
      <name val="Microsoft YaHei"/>
    </font>
    <font>
      <sz val="12"/>
      <color rgb="FF151515"/>
      <name val="Microsoft YaHei"/>
    </font>
    <font>
      <sz val="11"/>
      <color rgb="FF151515"/>
      <name val="Microsoft YaHei"/>
    </font>
    <font>
      <sz val="8"/>
      <color rgb="FF151515"/>
      <name val="Microsoft YaHei"/>
    </font>
    <font>
      <sz val="9"/>
      <name val="Microsoft YaHei"/>
    </font>
    <font>
      <b/>
      <sz val="10"/>
      <color rgb="FFFFFFFF"/>
      <name val="Microsoft YaHei"/>
    </font>
    <font>
      <sz val="10"/>
      <name val="Microsoft YaHei"/>
    </font>
    <font>
      <b/>
      <sz val="10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2F343A"/>
      </patternFill>
    </fill>
    <fill>
      <patternFill patternType="solid">
        <fgColor rgb="FF151515"/>
      </patternFill>
    </fill>
    <fill>
      <patternFill patternType="solid">
        <fgColor rgb="FFF1F1F1"/>
      </patternFill>
    </fill>
    <fill>
      <patternFill patternType="solid">
        <fgColor rgb="FFFFF3CC"/>
      </patternFill>
    </fill>
    <fill>
      <patternFill patternType="solid">
        <fgColor rgb="FFE8F1F8"/>
      </patternFill>
    </fill>
  </fills>
  <borders count="26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63">
    <xf numFmtId="0" fontId="0" fillId="0" borderId="0" xfId="0"/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0" fillId="2" borderId="1" xfId="0" applyNumberFormat="1" applyFont="1" applyFill="1" applyBorder="1"/>
    <xf numFmtId="0" fontId="1" fillId="2" borderId="1" xfId="0" applyNumberFormat="1" applyFont="1" applyFill="1" applyBorder="1"/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horizontal="left"/>
    </xf>
    <xf numFmtId="0" fontId="2" fillId="3" borderId="0" xfId="0" applyNumberFormat="1" applyFont="1" applyFill="1" applyBorder="1" applyAlignment="1">
      <alignment horizontal="left" vertical="center"/>
    </xf>
    <xf numFmtId="0" fontId="0" fillId="3" borderId="1" xfId="0" applyNumberFormat="1" applyFont="1" applyFill="1" applyBorder="1"/>
    <xf numFmtId="0" fontId="2" fillId="3" borderId="1" xfId="0" applyNumberFormat="1" applyFont="1" applyFill="1" applyBorder="1"/>
    <xf numFmtId="0" fontId="2" fillId="3" borderId="1" xfId="0" applyNumberFormat="1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horizontal="left" vertical="center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2" xfId="0" applyNumberFormat="1" applyFont="1" applyFill="1" applyBorder="1"/>
    <xf numFmtId="0" fontId="3" fillId="4" borderId="3" xfId="0" applyNumberFormat="1" applyFont="1" applyFill="1" applyBorder="1"/>
    <xf numFmtId="0" fontId="3" fillId="4" borderId="4" xfId="0" applyNumberFormat="1" applyFont="1" applyFill="1" applyBorder="1"/>
    <xf numFmtId="0" fontId="3" fillId="4" borderId="2" xfId="0" applyNumberFormat="1" applyFont="1" applyFill="1" applyBorder="1" applyAlignment="1">
      <alignment horizontal="left"/>
    </xf>
    <xf numFmtId="0" fontId="3" fillId="4" borderId="3" xfId="0" applyNumberFormat="1" applyFont="1" applyFill="1" applyBorder="1" applyAlignment="1">
      <alignment horizontal="left"/>
    </xf>
    <xf numFmtId="0" fontId="3" fillId="4" borderId="4" xfId="0" applyNumberFormat="1" applyFont="1" applyFill="1" applyBorder="1" applyAlignment="1">
      <alignment horizontal="left"/>
    </xf>
    <xf numFmtId="0" fontId="3" fillId="4" borderId="2" xfId="0" applyNumberFormat="1" applyFont="1" applyFill="1" applyBorder="1" applyAlignment="1">
      <alignment horizontal="left" vertical="center"/>
    </xf>
    <xf numFmtId="0" fontId="3" fillId="4" borderId="3" xfId="0" applyNumberFormat="1" applyFont="1" applyFill="1" applyBorder="1" applyAlignment="1">
      <alignment horizontal="left" vertical="center"/>
    </xf>
    <xf numFmtId="0" fontId="3" fillId="4" borderId="4" xfId="0" applyNumberFormat="1" applyFont="1" applyFill="1" applyBorder="1" applyAlignment="1">
      <alignment horizontal="left" vertical="center"/>
    </xf>
    <xf numFmtId="0" fontId="0" fillId="4" borderId="1" xfId="0" applyNumberFormat="1" applyFont="1" applyFill="1" applyBorder="1"/>
    <xf numFmtId="0" fontId="3" fillId="4" borderId="1" xfId="0" applyNumberFormat="1" applyFont="1" applyFill="1" applyBorder="1"/>
    <xf numFmtId="0" fontId="3" fillId="4" borderId="5" xfId="0" applyNumberFormat="1" applyFont="1" applyFill="1" applyBorder="1"/>
    <xf numFmtId="0" fontId="3" fillId="4" borderId="6" xfId="0" applyNumberFormat="1" applyFont="1" applyFill="1" applyBorder="1"/>
    <xf numFmtId="0" fontId="3" fillId="4" borderId="7" xfId="0" applyNumberFormat="1" applyFont="1" applyFill="1" applyBorder="1"/>
    <xf numFmtId="0" fontId="3" fillId="4" borderId="5" xfId="0" applyNumberFormat="1" applyFont="1" applyFill="1" applyBorder="1" applyAlignment="1">
      <alignment horizontal="left"/>
    </xf>
    <xf numFmtId="0" fontId="3" fillId="4" borderId="6" xfId="0" applyNumberFormat="1" applyFont="1" applyFill="1" applyBorder="1" applyAlignment="1">
      <alignment horizontal="left"/>
    </xf>
    <xf numFmtId="0" fontId="3" fillId="4" borderId="7" xfId="0" applyNumberFormat="1" applyFont="1" applyFill="1" applyBorder="1" applyAlignment="1">
      <alignment horizontal="left"/>
    </xf>
    <xf numFmtId="0" fontId="3" fillId="4" borderId="5" xfId="0" applyNumberFormat="1" applyFont="1" applyFill="1" applyBorder="1" applyAlignment="1">
      <alignment horizontal="left" vertical="center"/>
    </xf>
    <xf numFmtId="0" fontId="3" fillId="4" borderId="6" xfId="0" applyNumberFormat="1" applyFont="1" applyFill="1" applyBorder="1" applyAlignment="1">
      <alignment horizontal="left" vertical="center"/>
    </xf>
    <xf numFmtId="0" fontId="3" fillId="4" borderId="7" xfId="0" applyNumberFormat="1" applyFont="1" applyFill="1" applyBorder="1" applyAlignment="1">
      <alignment horizontal="left" vertical="center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8" xfId="0" applyNumberFormat="1" applyFont="1" applyFill="1" applyBorder="1"/>
    <xf numFmtId="0" fontId="4" fillId="5" borderId="9" xfId="0" applyNumberFormat="1" applyFont="1" applyFill="1" applyBorder="1"/>
    <xf numFmtId="0" fontId="4" fillId="5" borderId="10" xfId="0" applyNumberFormat="1" applyFont="1" applyFill="1" applyBorder="1"/>
    <xf numFmtId="0" fontId="4" fillId="5" borderId="11" xfId="0" applyNumberFormat="1" applyFont="1" applyFill="1" applyBorder="1"/>
    <xf numFmtId="0" fontId="4" fillId="5" borderId="12" xfId="0" applyNumberFormat="1" applyFont="1" applyFill="1" applyBorder="1"/>
    <xf numFmtId="0" fontId="4" fillId="5" borderId="13" xfId="0" applyNumberFormat="1" applyFont="1" applyFill="1" applyBorder="1"/>
    <xf numFmtId="0" fontId="4" fillId="5" borderId="14" xfId="0" applyNumberFormat="1" applyFont="1" applyFill="1" applyBorder="1"/>
    <xf numFmtId="0" fontId="4" fillId="5" borderId="15" xfId="0" applyNumberFormat="1" applyFont="1" applyFill="1" applyBorder="1"/>
    <xf numFmtId="0" fontId="4" fillId="5" borderId="8" xfId="0" applyNumberFormat="1" applyFont="1" applyFill="1" applyBorder="1" applyAlignment="1">
      <alignment wrapText="1"/>
    </xf>
    <xf numFmtId="0" fontId="4" fillId="5" borderId="9" xfId="0" applyNumberFormat="1" applyFont="1" applyFill="1" applyBorder="1" applyAlignment="1">
      <alignment wrapText="1"/>
    </xf>
    <xf numFmtId="0" fontId="4" fillId="5" borderId="10" xfId="0" applyNumberFormat="1" applyFont="1" applyFill="1" applyBorder="1" applyAlignment="1">
      <alignment wrapText="1"/>
    </xf>
    <xf numFmtId="0" fontId="4" fillId="5" borderId="11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wrapText="1"/>
    </xf>
    <xf numFmtId="0" fontId="4" fillId="5" borderId="12" xfId="0" applyNumberFormat="1" applyFont="1" applyFill="1" applyBorder="1" applyAlignment="1">
      <alignment wrapText="1"/>
    </xf>
    <xf numFmtId="0" fontId="4" fillId="5" borderId="13" xfId="0" applyNumberFormat="1" applyFont="1" applyFill="1" applyBorder="1" applyAlignment="1">
      <alignment wrapText="1"/>
    </xf>
    <xf numFmtId="0" fontId="4" fillId="5" borderId="14" xfId="0" applyNumberFormat="1" applyFont="1" applyFill="1" applyBorder="1" applyAlignment="1">
      <alignment wrapText="1"/>
    </xf>
    <xf numFmtId="0" fontId="4" fillId="5" borderId="15" xfId="0" applyNumberFormat="1" applyFont="1" applyFill="1" applyBorder="1" applyAlignment="1">
      <alignment wrapText="1"/>
    </xf>
    <xf numFmtId="0" fontId="4" fillId="5" borderId="8" xfId="0" applyNumberFormat="1" applyFont="1" applyFill="1" applyBorder="1" applyAlignment="1">
      <alignment horizontal="left" wrapText="1"/>
    </xf>
    <xf numFmtId="0" fontId="4" fillId="5" borderId="9" xfId="0" applyNumberFormat="1" applyFont="1" applyFill="1" applyBorder="1" applyAlignment="1">
      <alignment horizontal="left" wrapText="1"/>
    </xf>
    <xf numFmtId="0" fontId="4" fillId="5" borderId="10" xfId="0" applyNumberFormat="1" applyFont="1" applyFill="1" applyBorder="1" applyAlignment="1">
      <alignment horizontal="left" wrapText="1"/>
    </xf>
    <xf numFmtId="0" fontId="4" fillId="5" borderId="11" xfId="0" applyNumberFormat="1" applyFont="1" applyFill="1" applyBorder="1" applyAlignment="1">
      <alignment horizontal="left" wrapText="1"/>
    </xf>
    <xf numFmtId="0" fontId="4" fillId="5" borderId="0" xfId="0" applyNumberFormat="1" applyFont="1" applyFill="1" applyBorder="1" applyAlignment="1">
      <alignment horizontal="left" wrapText="1"/>
    </xf>
    <xf numFmtId="0" fontId="4" fillId="5" borderId="12" xfId="0" applyNumberFormat="1" applyFont="1" applyFill="1" applyBorder="1" applyAlignment="1">
      <alignment horizontal="left" wrapText="1"/>
    </xf>
    <xf numFmtId="0" fontId="4" fillId="5" borderId="13" xfId="0" applyNumberFormat="1" applyFont="1" applyFill="1" applyBorder="1" applyAlignment="1">
      <alignment horizontal="left" wrapText="1"/>
    </xf>
    <xf numFmtId="0" fontId="4" fillId="5" borderId="14" xfId="0" applyNumberFormat="1" applyFont="1" applyFill="1" applyBorder="1" applyAlignment="1">
      <alignment horizontal="left" wrapText="1"/>
    </xf>
    <xf numFmtId="0" fontId="4" fillId="5" borderId="15" xfId="0" applyNumberFormat="1" applyFont="1" applyFill="1" applyBorder="1" applyAlignment="1">
      <alignment horizontal="left" wrapText="1"/>
    </xf>
    <xf numFmtId="0" fontId="4" fillId="5" borderId="8" xfId="0" applyNumberFormat="1" applyFont="1" applyFill="1" applyBorder="1" applyAlignment="1">
      <alignment horizontal="left" vertical="center" wrapText="1"/>
    </xf>
    <xf numFmtId="0" fontId="4" fillId="5" borderId="9" xfId="0" applyNumberFormat="1" applyFont="1" applyFill="1" applyBorder="1" applyAlignment="1">
      <alignment horizontal="left" vertical="center" wrapText="1"/>
    </xf>
    <xf numFmtId="0" fontId="4" fillId="5" borderId="10" xfId="0" applyNumberFormat="1" applyFont="1" applyFill="1" applyBorder="1" applyAlignment="1">
      <alignment horizontal="left" vertical="center" wrapText="1"/>
    </xf>
    <xf numFmtId="0" fontId="4" fillId="5" borderId="11" xfId="0" applyNumberFormat="1" applyFont="1" applyFill="1" applyBorder="1" applyAlignment="1">
      <alignment horizontal="left" vertical="center" wrapText="1"/>
    </xf>
    <xf numFmtId="0" fontId="4" fillId="5" borderId="0" xfId="0" applyNumberFormat="1" applyFont="1" applyFill="1" applyBorder="1" applyAlignment="1">
      <alignment horizontal="left" vertical="center" wrapText="1"/>
    </xf>
    <xf numFmtId="0" fontId="4" fillId="5" borderId="12" xfId="0" applyNumberFormat="1" applyFont="1" applyFill="1" applyBorder="1" applyAlignment="1">
      <alignment horizontal="left" vertical="center" wrapText="1"/>
    </xf>
    <xf numFmtId="0" fontId="4" fillId="5" borderId="13" xfId="0" applyNumberFormat="1" applyFont="1" applyFill="1" applyBorder="1" applyAlignment="1">
      <alignment horizontal="left" vertical="center" wrapText="1"/>
    </xf>
    <xf numFmtId="0" fontId="4" fillId="5" borderId="14" xfId="0" applyNumberFormat="1" applyFont="1" applyFill="1" applyBorder="1" applyAlignment="1">
      <alignment horizontal="left" vertical="center" wrapText="1"/>
    </xf>
    <xf numFmtId="0" fontId="4" fillId="5" borderId="15" xfId="0" applyNumberFormat="1" applyFont="1" applyFill="1" applyBorder="1" applyAlignment="1">
      <alignment horizontal="left" vertical="center" wrapText="1"/>
    </xf>
    <xf numFmtId="0" fontId="0" fillId="5" borderId="1" xfId="0" applyNumberFormat="1" applyFont="1" applyFill="1" applyBorder="1"/>
    <xf numFmtId="0" fontId="4" fillId="5" borderId="1" xfId="0" applyNumberFormat="1" applyFont="1" applyFill="1" applyBorder="1"/>
    <xf numFmtId="0" fontId="4" fillId="5" borderId="16" xfId="0" applyNumberFormat="1" applyFont="1" applyFill="1" applyBorder="1"/>
    <xf numFmtId="0" fontId="4" fillId="5" borderId="17" xfId="0" applyNumberFormat="1" applyFont="1" applyFill="1" applyBorder="1"/>
    <xf numFmtId="0" fontId="4" fillId="5" borderId="18" xfId="0" applyNumberFormat="1" applyFont="1" applyFill="1" applyBorder="1"/>
    <xf numFmtId="0" fontId="4" fillId="5" borderId="19" xfId="0" applyNumberFormat="1" applyFont="1" applyFill="1" applyBorder="1"/>
    <xf numFmtId="0" fontId="4" fillId="5" borderId="20" xfId="0" applyNumberFormat="1" applyFont="1" applyFill="1" applyBorder="1"/>
    <xf numFmtId="0" fontId="4" fillId="5" borderId="21" xfId="0" applyNumberFormat="1" applyFont="1" applyFill="1" applyBorder="1"/>
    <xf numFmtId="0" fontId="4" fillId="5" borderId="22" xfId="0" applyNumberFormat="1" applyFont="1" applyFill="1" applyBorder="1"/>
    <xf numFmtId="0" fontId="4" fillId="5" borderId="23" xfId="0" applyNumberFormat="1" applyFont="1" applyFill="1" applyBorder="1"/>
    <xf numFmtId="0" fontId="4" fillId="5" borderId="16" xfId="0" applyNumberFormat="1" applyFont="1" applyFill="1" applyBorder="1" applyAlignment="1">
      <alignment wrapText="1"/>
    </xf>
    <xf numFmtId="0" fontId="4" fillId="5" borderId="17" xfId="0" applyNumberFormat="1" applyFont="1" applyFill="1" applyBorder="1" applyAlignment="1">
      <alignment wrapText="1"/>
    </xf>
    <xf numFmtId="0" fontId="4" fillId="5" borderId="18" xfId="0" applyNumberFormat="1" applyFont="1" applyFill="1" applyBorder="1" applyAlignment="1">
      <alignment wrapText="1"/>
    </xf>
    <xf numFmtId="0" fontId="4" fillId="5" borderId="19" xfId="0" applyNumberFormat="1" applyFont="1" applyFill="1" applyBorder="1" applyAlignment="1">
      <alignment wrapText="1"/>
    </xf>
    <xf numFmtId="0" fontId="4" fillId="5" borderId="1" xfId="0" applyNumberFormat="1" applyFont="1" applyFill="1" applyBorder="1" applyAlignment="1">
      <alignment wrapText="1"/>
    </xf>
    <xf numFmtId="0" fontId="4" fillId="5" borderId="20" xfId="0" applyNumberFormat="1" applyFont="1" applyFill="1" applyBorder="1" applyAlignment="1">
      <alignment wrapText="1"/>
    </xf>
    <xf numFmtId="0" fontId="4" fillId="5" borderId="21" xfId="0" applyNumberFormat="1" applyFont="1" applyFill="1" applyBorder="1" applyAlignment="1">
      <alignment wrapText="1"/>
    </xf>
    <xf numFmtId="0" fontId="4" fillId="5" borderId="22" xfId="0" applyNumberFormat="1" applyFont="1" applyFill="1" applyBorder="1" applyAlignment="1">
      <alignment wrapText="1"/>
    </xf>
    <xf numFmtId="0" fontId="4" fillId="5" borderId="23" xfId="0" applyNumberFormat="1" applyFont="1" applyFill="1" applyBorder="1" applyAlignment="1">
      <alignment wrapText="1"/>
    </xf>
    <xf numFmtId="0" fontId="4" fillId="5" borderId="16" xfId="0" applyNumberFormat="1" applyFont="1" applyFill="1" applyBorder="1" applyAlignment="1">
      <alignment horizontal="left" wrapText="1"/>
    </xf>
    <xf numFmtId="0" fontId="4" fillId="5" borderId="17" xfId="0" applyNumberFormat="1" applyFont="1" applyFill="1" applyBorder="1" applyAlignment="1">
      <alignment horizontal="left" wrapText="1"/>
    </xf>
    <xf numFmtId="0" fontId="4" fillId="5" borderId="18" xfId="0" applyNumberFormat="1" applyFont="1" applyFill="1" applyBorder="1" applyAlignment="1">
      <alignment horizontal="left" wrapText="1"/>
    </xf>
    <xf numFmtId="0" fontId="4" fillId="5" borderId="19" xfId="0" applyNumberFormat="1" applyFont="1" applyFill="1" applyBorder="1" applyAlignment="1">
      <alignment horizontal="left" wrapText="1"/>
    </xf>
    <xf numFmtId="0" fontId="4" fillId="5" borderId="1" xfId="0" applyNumberFormat="1" applyFont="1" applyFill="1" applyBorder="1" applyAlignment="1">
      <alignment horizontal="left" wrapText="1"/>
    </xf>
    <xf numFmtId="0" fontId="4" fillId="5" borderId="20" xfId="0" applyNumberFormat="1" applyFont="1" applyFill="1" applyBorder="1" applyAlignment="1">
      <alignment horizontal="left" wrapText="1"/>
    </xf>
    <xf numFmtId="0" fontId="4" fillId="5" borderId="21" xfId="0" applyNumberFormat="1" applyFont="1" applyFill="1" applyBorder="1" applyAlignment="1">
      <alignment horizontal="left" wrapText="1"/>
    </xf>
    <xf numFmtId="0" fontId="4" fillId="5" borderId="22" xfId="0" applyNumberFormat="1" applyFont="1" applyFill="1" applyBorder="1" applyAlignment="1">
      <alignment horizontal="left" wrapText="1"/>
    </xf>
    <xf numFmtId="0" fontId="4" fillId="5" borderId="23" xfId="0" applyNumberFormat="1" applyFont="1" applyFill="1" applyBorder="1" applyAlignment="1">
      <alignment horizontal="left" wrapText="1"/>
    </xf>
    <xf numFmtId="0" fontId="4" fillId="5" borderId="16" xfId="0" applyNumberFormat="1" applyFont="1" applyFill="1" applyBorder="1" applyAlignment="1">
      <alignment horizontal="left" vertical="center" wrapText="1"/>
    </xf>
    <xf numFmtId="0" fontId="4" fillId="5" borderId="17" xfId="0" applyNumberFormat="1" applyFont="1" applyFill="1" applyBorder="1" applyAlignment="1">
      <alignment horizontal="left" vertical="center" wrapText="1"/>
    </xf>
    <xf numFmtId="0" fontId="4" fillId="5" borderId="18" xfId="0" applyNumberFormat="1" applyFont="1" applyFill="1" applyBorder="1" applyAlignment="1">
      <alignment horizontal="left" vertical="center" wrapText="1"/>
    </xf>
    <xf numFmtId="0" fontId="4" fillId="5" borderId="19" xfId="0" applyNumberFormat="1" applyFont="1" applyFill="1" applyBorder="1" applyAlignment="1">
      <alignment horizontal="left" vertical="center" wrapText="1"/>
    </xf>
    <xf numFmtId="0" fontId="4" fillId="5" borderId="1" xfId="0" applyNumberFormat="1" applyFont="1" applyFill="1" applyBorder="1" applyAlignment="1">
      <alignment horizontal="left" vertical="center" wrapText="1"/>
    </xf>
    <xf numFmtId="0" fontId="4" fillId="5" borderId="20" xfId="0" applyNumberFormat="1" applyFont="1" applyFill="1" applyBorder="1" applyAlignment="1">
      <alignment horizontal="left" vertical="center" wrapText="1"/>
    </xf>
    <xf numFmtId="0" fontId="4" fillId="5" borderId="21" xfId="0" applyNumberFormat="1" applyFont="1" applyFill="1" applyBorder="1" applyAlignment="1">
      <alignment horizontal="left" vertical="center" wrapText="1"/>
    </xf>
    <xf numFmtId="0" fontId="4" fillId="5" borderId="22" xfId="0" applyNumberFormat="1" applyFont="1" applyFill="1" applyBorder="1" applyAlignment="1">
      <alignment horizontal="left" vertical="center" wrapText="1"/>
    </xf>
    <xf numFmtId="0" fontId="4" fillId="5" borderId="23" xfId="0" applyNumberFormat="1" applyFont="1" applyFill="1" applyBorder="1" applyAlignment="1">
      <alignment horizontal="left" vertical="center" wrapText="1"/>
    </xf>
    <xf numFmtId="0" fontId="5" fillId="5" borderId="0" xfId="0" applyNumberFormat="1" applyFont="1" applyFill="1" applyBorder="1"/>
    <xf numFmtId="0" fontId="5" fillId="5" borderId="8" xfId="0" applyNumberFormat="1" applyFont="1" applyFill="1" applyBorder="1"/>
    <xf numFmtId="0" fontId="5" fillId="5" borderId="9" xfId="0" applyNumberFormat="1" applyFont="1" applyFill="1" applyBorder="1"/>
    <xf numFmtId="0" fontId="5" fillId="5" borderId="10" xfId="0" applyNumberFormat="1" applyFont="1" applyFill="1" applyBorder="1"/>
    <xf numFmtId="0" fontId="5" fillId="5" borderId="11" xfId="0" applyNumberFormat="1" applyFont="1" applyFill="1" applyBorder="1"/>
    <xf numFmtId="0" fontId="5" fillId="5" borderId="12" xfId="0" applyNumberFormat="1" applyFont="1" applyFill="1" applyBorder="1"/>
    <xf numFmtId="0" fontId="5" fillId="5" borderId="13" xfId="0" applyNumberFormat="1" applyFont="1" applyFill="1" applyBorder="1"/>
    <xf numFmtId="0" fontId="5" fillId="5" borderId="14" xfId="0" applyNumberFormat="1" applyFont="1" applyFill="1" applyBorder="1"/>
    <xf numFmtId="0" fontId="5" fillId="5" borderId="15" xfId="0" applyNumberFormat="1" applyFont="1" applyFill="1" applyBorder="1"/>
    <xf numFmtId="0" fontId="5" fillId="5" borderId="8" xfId="0" applyNumberFormat="1" applyFont="1" applyFill="1" applyBorder="1" applyAlignment="1">
      <alignment wrapText="1"/>
    </xf>
    <xf numFmtId="0" fontId="5" fillId="5" borderId="9" xfId="0" applyNumberFormat="1" applyFont="1" applyFill="1" applyBorder="1" applyAlignment="1">
      <alignment wrapText="1"/>
    </xf>
    <xf numFmtId="0" fontId="5" fillId="5" borderId="10" xfId="0" applyNumberFormat="1" applyFont="1" applyFill="1" applyBorder="1" applyAlignment="1">
      <alignment wrapText="1"/>
    </xf>
    <xf numFmtId="0" fontId="5" fillId="5" borderId="11" xfId="0" applyNumberFormat="1" applyFont="1" applyFill="1" applyBorder="1" applyAlignment="1">
      <alignment wrapText="1"/>
    </xf>
    <xf numFmtId="0" fontId="5" fillId="5" borderId="0" xfId="0" applyNumberFormat="1" applyFont="1" applyFill="1" applyBorder="1" applyAlignment="1">
      <alignment wrapText="1"/>
    </xf>
    <xf numFmtId="0" fontId="5" fillId="5" borderId="12" xfId="0" applyNumberFormat="1" applyFont="1" applyFill="1" applyBorder="1" applyAlignment="1">
      <alignment wrapText="1"/>
    </xf>
    <xf numFmtId="0" fontId="5" fillId="5" borderId="13" xfId="0" applyNumberFormat="1" applyFont="1" applyFill="1" applyBorder="1" applyAlignment="1">
      <alignment wrapText="1"/>
    </xf>
    <xf numFmtId="0" fontId="5" fillId="5" borderId="14" xfId="0" applyNumberFormat="1" applyFont="1" applyFill="1" applyBorder="1" applyAlignment="1">
      <alignment wrapText="1"/>
    </xf>
    <xf numFmtId="0" fontId="5" fillId="5" borderId="15" xfId="0" applyNumberFormat="1" applyFont="1" applyFill="1" applyBorder="1" applyAlignment="1">
      <alignment wrapText="1"/>
    </xf>
    <xf numFmtId="0" fontId="5" fillId="5" borderId="8" xfId="0" applyNumberFormat="1" applyFont="1" applyFill="1" applyBorder="1" applyAlignment="1">
      <alignment horizontal="center" wrapText="1"/>
    </xf>
    <xf numFmtId="0" fontId="5" fillId="5" borderId="9" xfId="0" applyNumberFormat="1" applyFont="1" applyFill="1" applyBorder="1" applyAlignment="1">
      <alignment horizontal="center" wrapText="1"/>
    </xf>
    <xf numFmtId="0" fontId="5" fillId="5" borderId="10" xfId="0" applyNumberFormat="1" applyFont="1" applyFill="1" applyBorder="1" applyAlignment="1">
      <alignment horizontal="center" wrapText="1"/>
    </xf>
    <xf numFmtId="0" fontId="5" fillId="5" borderId="11" xfId="0" applyNumberFormat="1" applyFont="1" applyFill="1" applyBorder="1" applyAlignment="1">
      <alignment horizontal="center" wrapText="1"/>
    </xf>
    <xf numFmtId="0" fontId="5" fillId="5" borderId="0" xfId="0" applyNumberFormat="1" applyFont="1" applyFill="1" applyBorder="1" applyAlignment="1">
      <alignment horizontal="center" wrapText="1"/>
    </xf>
    <xf numFmtId="0" fontId="5" fillId="5" borderId="12" xfId="0" applyNumberFormat="1" applyFont="1" applyFill="1" applyBorder="1" applyAlignment="1">
      <alignment horizontal="center" wrapText="1"/>
    </xf>
    <xf numFmtId="0" fontId="5" fillId="5" borderId="13" xfId="0" applyNumberFormat="1" applyFont="1" applyFill="1" applyBorder="1" applyAlignment="1">
      <alignment horizontal="center" wrapText="1"/>
    </xf>
    <xf numFmtId="0" fontId="5" fillId="5" borderId="14" xfId="0" applyNumberFormat="1" applyFont="1" applyFill="1" applyBorder="1" applyAlignment="1">
      <alignment horizontal="center" wrapText="1"/>
    </xf>
    <xf numFmtId="0" fontId="5" fillId="5" borderId="15" xfId="0" applyNumberFormat="1" applyFont="1" applyFill="1" applyBorder="1" applyAlignment="1">
      <alignment horizontal="center" wrapText="1"/>
    </xf>
    <xf numFmtId="0" fontId="5" fillId="5" borderId="8" xfId="0" applyNumberFormat="1" applyFont="1" applyFill="1" applyBorder="1" applyAlignment="1">
      <alignment horizontal="center" vertical="center" wrapText="1"/>
    </xf>
    <xf numFmtId="0" fontId="5" fillId="5" borderId="9" xfId="0" applyNumberFormat="1" applyFont="1" applyFill="1" applyBorder="1" applyAlignment="1">
      <alignment horizontal="center" vertical="center" wrapText="1"/>
    </xf>
    <xf numFmtId="0" fontId="5" fillId="5" borderId="10" xfId="0" applyNumberFormat="1" applyFont="1" applyFill="1" applyBorder="1" applyAlignment="1">
      <alignment horizontal="center" vertical="center" wrapText="1"/>
    </xf>
    <xf numFmtId="0" fontId="5" fillId="5" borderId="11" xfId="0" applyNumberFormat="1" applyFont="1" applyFill="1" applyBorder="1" applyAlignment="1">
      <alignment horizontal="center" vertical="center" wrapText="1"/>
    </xf>
    <xf numFmtId="0" fontId="5" fillId="5" borderId="0" xfId="0" applyNumberFormat="1" applyFont="1" applyFill="1" applyBorder="1" applyAlignment="1">
      <alignment horizontal="center" vertical="center" wrapText="1"/>
    </xf>
    <xf numFmtId="0" fontId="5" fillId="5" borderId="12" xfId="0" applyNumberFormat="1" applyFont="1" applyFill="1" applyBorder="1" applyAlignment="1">
      <alignment horizontal="center" vertical="center" wrapText="1"/>
    </xf>
    <xf numFmtId="0" fontId="5" fillId="5" borderId="13" xfId="0" applyNumberFormat="1" applyFont="1" applyFill="1" applyBorder="1" applyAlignment="1">
      <alignment horizontal="center" vertical="center" wrapText="1"/>
    </xf>
    <xf numFmtId="0" fontId="5" fillId="5" borderId="14" xfId="0" applyNumberFormat="1" applyFont="1" applyFill="1" applyBorder="1" applyAlignment="1">
      <alignment horizontal="center" vertical="center" wrapText="1"/>
    </xf>
    <xf numFmtId="0" fontId="5" fillId="5" borderId="15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/>
    <xf numFmtId="0" fontId="5" fillId="5" borderId="16" xfId="0" applyNumberFormat="1" applyFont="1" applyFill="1" applyBorder="1"/>
    <xf numFmtId="0" fontId="5" fillId="5" borderId="17" xfId="0" applyNumberFormat="1" applyFont="1" applyFill="1" applyBorder="1"/>
    <xf numFmtId="0" fontId="5" fillId="5" borderId="18" xfId="0" applyNumberFormat="1" applyFont="1" applyFill="1" applyBorder="1"/>
    <xf numFmtId="0" fontId="5" fillId="5" borderId="19" xfId="0" applyNumberFormat="1" applyFont="1" applyFill="1" applyBorder="1"/>
    <xf numFmtId="0" fontId="5" fillId="5" borderId="20" xfId="0" applyNumberFormat="1" applyFont="1" applyFill="1" applyBorder="1"/>
    <xf numFmtId="0" fontId="5" fillId="5" borderId="21" xfId="0" applyNumberFormat="1" applyFont="1" applyFill="1" applyBorder="1"/>
    <xf numFmtId="0" fontId="5" fillId="5" borderId="22" xfId="0" applyNumberFormat="1" applyFont="1" applyFill="1" applyBorder="1"/>
    <xf numFmtId="0" fontId="5" fillId="5" borderId="23" xfId="0" applyNumberFormat="1" applyFont="1" applyFill="1" applyBorder="1"/>
    <xf numFmtId="0" fontId="5" fillId="5" borderId="16" xfId="0" applyNumberFormat="1" applyFont="1" applyFill="1" applyBorder="1" applyAlignment="1">
      <alignment wrapText="1"/>
    </xf>
    <xf numFmtId="0" fontId="5" fillId="5" borderId="17" xfId="0" applyNumberFormat="1" applyFont="1" applyFill="1" applyBorder="1" applyAlignment="1">
      <alignment wrapText="1"/>
    </xf>
    <xf numFmtId="0" fontId="5" fillId="5" borderId="18" xfId="0" applyNumberFormat="1" applyFont="1" applyFill="1" applyBorder="1" applyAlignment="1">
      <alignment wrapText="1"/>
    </xf>
    <xf numFmtId="0" fontId="5" fillId="5" borderId="19" xfId="0" applyNumberFormat="1" applyFont="1" applyFill="1" applyBorder="1" applyAlignment="1">
      <alignment wrapText="1"/>
    </xf>
    <xf numFmtId="0" fontId="5" fillId="5" borderId="1" xfId="0" applyNumberFormat="1" applyFont="1" applyFill="1" applyBorder="1" applyAlignment="1">
      <alignment wrapText="1"/>
    </xf>
    <xf numFmtId="0" fontId="5" fillId="5" borderId="20" xfId="0" applyNumberFormat="1" applyFont="1" applyFill="1" applyBorder="1" applyAlignment="1">
      <alignment wrapText="1"/>
    </xf>
    <xf numFmtId="0" fontId="5" fillId="5" borderId="21" xfId="0" applyNumberFormat="1" applyFont="1" applyFill="1" applyBorder="1" applyAlignment="1">
      <alignment wrapText="1"/>
    </xf>
    <xf numFmtId="0" fontId="5" fillId="5" borderId="22" xfId="0" applyNumberFormat="1" applyFont="1" applyFill="1" applyBorder="1" applyAlignment="1">
      <alignment wrapText="1"/>
    </xf>
    <xf numFmtId="0" fontId="5" fillId="5" borderId="23" xfId="0" applyNumberFormat="1" applyFont="1" applyFill="1" applyBorder="1" applyAlignment="1">
      <alignment wrapText="1"/>
    </xf>
    <xf numFmtId="0" fontId="5" fillId="5" borderId="16" xfId="0" applyNumberFormat="1" applyFont="1" applyFill="1" applyBorder="1" applyAlignment="1">
      <alignment horizontal="center" wrapText="1"/>
    </xf>
    <xf numFmtId="0" fontId="5" fillId="5" borderId="17" xfId="0" applyNumberFormat="1" applyFont="1" applyFill="1" applyBorder="1" applyAlignment="1">
      <alignment horizontal="center" wrapText="1"/>
    </xf>
    <xf numFmtId="0" fontId="5" fillId="5" borderId="18" xfId="0" applyNumberFormat="1" applyFont="1" applyFill="1" applyBorder="1" applyAlignment="1">
      <alignment horizontal="center" wrapText="1"/>
    </xf>
    <xf numFmtId="0" fontId="5" fillId="5" borderId="19" xfId="0" applyNumberFormat="1" applyFont="1" applyFill="1" applyBorder="1" applyAlignment="1">
      <alignment horizontal="center" wrapText="1"/>
    </xf>
    <xf numFmtId="0" fontId="5" fillId="5" borderId="1" xfId="0" applyNumberFormat="1" applyFont="1" applyFill="1" applyBorder="1" applyAlignment="1">
      <alignment horizontal="center" wrapText="1"/>
    </xf>
    <xf numFmtId="0" fontId="5" fillId="5" borderId="20" xfId="0" applyNumberFormat="1" applyFont="1" applyFill="1" applyBorder="1" applyAlignment="1">
      <alignment horizontal="center" wrapText="1"/>
    </xf>
    <xf numFmtId="0" fontId="5" fillId="5" borderId="21" xfId="0" applyNumberFormat="1" applyFont="1" applyFill="1" applyBorder="1" applyAlignment="1">
      <alignment horizontal="center" wrapText="1"/>
    </xf>
    <xf numFmtId="0" fontId="5" fillId="5" borderId="22" xfId="0" applyNumberFormat="1" applyFont="1" applyFill="1" applyBorder="1" applyAlignment="1">
      <alignment horizontal="center" wrapText="1"/>
    </xf>
    <xf numFmtId="0" fontId="5" fillId="5" borderId="23" xfId="0" applyNumberFormat="1" applyFont="1" applyFill="1" applyBorder="1" applyAlignment="1">
      <alignment horizontal="center" wrapText="1"/>
    </xf>
    <xf numFmtId="0" fontId="5" fillId="5" borderId="16" xfId="0" applyNumberFormat="1" applyFont="1" applyFill="1" applyBorder="1" applyAlignment="1">
      <alignment horizontal="center" vertical="center" wrapText="1"/>
    </xf>
    <xf numFmtId="0" fontId="5" fillId="5" borderId="17" xfId="0" applyNumberFormat="1" applyFont="1" applyFill="1" applyBorder="1" applyAlignment="1">
      <alignment horizontal="center" vertical="center" wrapText="1"/>
    </xf>
    <xf numFmtId="0" fontId="5" fillId="5" borderId="18" xfId="0" applyNumberFormat="1" applyFont="1" applyFill="1" applyBorder="1" applyAlignment="1">
      <alignment horizontal="center" vertical="center" wrapText="1"/>
    </xf>
    <xf numFmtId="0" fontId="5" fillId="5" borderId="19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5" fillId="5" borderId="20" xfId="0" applyNumberFormat="1" applyFont="1" applyFill="1" applyBorder="1" applyAlignment="1">
      <alignment horizontal="center" vertical="center" wrapText="1"/>
    </xf>
    <xf numFmtId="0" fontId="5" fillId="5" borderId="21" xfId="0" applyNumberFormat="1" applyFont="1" applyFill="1" applyBorder="1" applyAlignment="1">
      <alignment horizontal="center" vertical="center" wrapText="1"/>
    </xf>
    <xf numFmtId="0" fontId="5" fillId="5" borderId="22" xfId="0" applyNumberFormat="1" applyFont="1" applyFill="1" applyBorder="1" applyAlignment="1">
      <alignment horizontal="center" vertical="center" wrapText="1"/>
    </xf>
    <xf numFmtId="0" fontId="5" fillId="5" borderId="23" xfId="0" applyNumberFormat="1" applyFont="1" applyFill="1" applyBorder="1" applyAlignment="1">
      <alignment horizontal="center" vertical="center" wrapText="1"/>
    </xf>
    <xf numFmtId="0" fontId="5" fillId="5" borderId="8" xfId="0" applyNumberFormat="1" applyFont="1" applyFill="1" applyBorder="1" applyAlignment="1">
      <alignment horizontal="left" wrapText="1"/>
    </xf>
    <xf numFmtId="0" fontId="5" fillId="5" borderId="9" xfId="0" applyNumberFormat="1" applyFont="1" applyFill="1" applyBorder="1" applyAlignment="1">
      <alignment horizontal="left" wrapText="1"/>
    </xf>
    <xf numFmtId="0" fontId="5" fillId="5" borderId="10" xfId="0" applyNumberFormat="1" applyFont="1" applyFill="1" applyBorder="1" applyAlignment="1">
      <alignment horizontal="left" wrapText="1"/>
    </xf>
    <xf numFmtId="0" fontId="5" fillId="5" borderId="13" xfId="0" applyNumberFormat="1" applyFont="1" applyFill="1" applyBorder="1" applyAlignment="1">
      <alignment horizontal="left" wrapText="1"/>
    </xf>
    <xf numFmtId="0" fontId="5" fillId="5" borderId="14" xfId="0" applyNumberFormat="1" applyFont="1" applyFill="1" applyBorder="1" applyAlignment="1">
      <alignment horizontal="left" wrapText="1"/>
    </xf>
    <xf numFmtId="0" fontId="5" fillId="5" borderId="15" xfId="0" applyNumberFormat="1" applyFont="1" applyFill="1" applyBorder="1" applyAlignment="1">
      <alignment horizontal="left" wrapText="1"/>
    </xf>
    <xf numFmtId="0" fontId="5" fillId="5" borderId="8" xfId="0" applyNumberFormat="1" applyFont="1" applyFill="1" applyBorder="1" applyAlignment="1">
      <alignment horizontal="left" vertical="center" wrapText="1"/>
    </xf>
    <xf numFmtId="0" fontId="5" fillId="5" borderId="9" xfId="0" applyNumberFormat="1" applyFont="1" applyFill="1" applyBorder="1" applyAlignment="1">
      <alignment horizontal="left" vertical="center" wrapText="1"/>
    </xf>
    <xf numFmtId="0" fontId="5" fillId="5" borderId="10" xfId="0" applyNumberFormat="1" applyFont="1" applyFill="1" applyBorder="1" applyAlignment="1">
      <alignment horizontal="left" vertical="center" wrapText="1"/>
    </xf>
    <xf numFmtId="0" fontId="5" fillId="5" borderId="13" xfId="0" applyNumberFormat="1" applyFont="1" applyFill="1" applyBorder="1" applyAlignment="1">
      <alignment horizontal="left" vertical="center" wrapText="1"/>
    </xf>
    <xf numFmtId="0" fontId="5" fillId="5" borderId="14" xfId="0" applyNumberFormat="1" applyFont="1" applyFill="1" applyBorder="1" applyAlignment="1">
      <alignment horizontal="left" vertical="center" wrapText="1"/>
    </xf>
    <xf numFmtId="0" fontId="5" fillId="5" borderId="15" xfId="0" applyNumberFormat="1" applyFont="1" applyFill="1" applyBorder="1" applyAlignment="1">
      <alignment horizontal="left" vertical="center" wrapText="1"/>
    </xf>
    <xf numFmtId="0" fontId="5" fillId="5" borderId="16" xfId="0" applyNumberFormat="1" applyFont="1" applyFill="1" applyBorder="1" applyAlignment="1">
      <alignment horizontal="left" wrapText="1"/>
    </xf>
    <xf numFmtId="0" fontId="5" fillId="5" borderId="17" xfId="0" applyNumberFormat="1" applyFont="1" applyFill="1" applyBorder="1" applyAlignment="1">
      <alignment horizontal="left" wrapText="1"/>
    </xf>
    <xf numFmtId="0" fontId="5" fillId="5" borderId="18" xfId="0" applyNumberFormat="1" applyFont="1" applyFill="1" applyBorder="1" applyAlignment="1">
      <alignment horizontal="left" wrapText="1"/>
    </xf>
    <xf numFmtId="0" fontId="5" fillId="5" borderId="21" xfId="0" applyNumberFormat="1" applyFont="1" applyFill="1" applyBorder="1" applyAlignment="1">
      <alignment horizontal="left" wrapText="1"/>
    </xf>
    <xf numFmtId="0" fontId="5" fillId="5" borderId="22" xfId="0" applyNumberFormat="1" applyFont="1" applyFill="1" applyBorder="1" applyAlignment="1">
      <alignment horizontal="left" wrapText="1"/>
    </xf>
    <xf numFmtId="0" fontId="5" fillId="5" borderId="23" xfId="0" applyNumberFormat="1" applyFont="1" applyFill="1" applyBorder="1" applyAlignment="1">
      <alignment horizontal="left" wrapText="1"/>
    </xf>
    <xf numFmtId="0" fontId="5" fillId="5" borderId="16" xfId="0" applyNumberFormat="1" applyFont="1" applyFill="1" applyBorder="1" applyAlignment="1">
      <alignment horizontal="left" vertical="center" wrapText="1"/>
    </xf>
    <xf numFmtId="0" fontId="5" fillId="5" borderId="17" xfId="0" applyNumberFormat="1" applyFont="1" applyFill="1" applyBorder="1" applyAlignment="1">
      <alignment horizontal="left" vertical="center" wrapText="1"/>
    </xf>
    <xf numFmtId="0" fontId="5" fillId="5" borderId="18" xfId="0" applyNumberFormat="1" applyFont="1" applyFill="1" applyBorder="1" applyAlignment="1">
      <alignment horizontal="left" vertical="center" wrapText="1"/>
    </xf>
    <xf numFmtId="0" fontId="5" fillId="5" borderId="21" xfId="0" applyNumberFormat="1" applyFont="1" applyFill="1" applyBorder="1" applyAlignment="1">
      <alignment horizontal="left" vertical="center" wrapText="1"/>
    </xf>
    <xf numFmtId="0" fontId="5" fillId="5" borderId="22" xfId="0" applyNumberFormat="1" applyFont="1" applyFill="1" applyBorder="1" applyAlignment="1">
      <alignment horizontal="left" vertical="center" wrapText="1"/>
    </xf>
    <xf numFmtId="0" fontId="5" fillId="5" borderId="23" xfId="0" applyNumberFormat="1" applyFont="1" applyFill="1" applyBorder="1" applyAlignment="1">
      <alignment horizontal="left" vertical="center" wrapText="1"/>
    </xf>
    <xf numFmtId="0" fontId="6" fillId="3" borderId="0" xfId="0" applyNumberFormat="1" applyFont="1" applyFill="1" applyBorder="1"/>
    <xf numFmtId="0" fontId="6" fillId="3" borderId="2" xfId="0" applyNumberFormat="1" applyFont="1" applyFill="1" applyBorder="1"/>
    <xf numFmtId="0" fontId="6" fillId="3" borderId="3" xfId="0" applyNumberFormat="1" applyFont="1" applyFill="1" applyBorder="1"/>
    <xf numFmtId="0" fontId="6" fillId="3" borderId="4" xfId="0" applyNumberFormat="1" applyFont="1" applyFill="1" applyBorder="1"/>
    <xf numFmtId="0" fontId="6" fillId="3" borderId="2" xfId="0" applyNumberFormat="1" applyFont="1" applyFill="1" applyBorder="1" applyAlignment="1">
      <alignment horizontal="center"/>
    </xf>
    <xf numFmtId="0" fontId="6" fillId="3" borderId="3" xfId="0" applyNumberFormat="1" applyFont="1" applyFill="1" applyBorder="1" applyAlignment="1">
      <alignment horizontal="center"/>
    </xf>
    <xf numFmtId="0" fontId="6" fillId="3" borderId="4" xfId="0" applyNumberFormat="1" applyFont="1" applyFill="1" applyBorder="1" applyAlignment="1">
      <alignment horizontal="center"/>
    </xf>
    <xf numFmtId="0" fontId="6" fillId="3" borderId="2" xfId="0" applyNumberFormat="1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/>
    <xf numFmtId="0" fontId="6" fillId="3" borderId="5" xfId="0" applyNumberFormat="1" applyFont="1" applyFill="1" applyBorder="1"/>
    <xf numFmtId="0" fontId="6" fillId="3" borderId="6" xfId="0" applyNumberFormat="1" applyFont="1" applyFill="1" applyBorder="1"/>
    <xf numFmtId="0" fontId="6" fillId="3" borderId="7" xfId="0" applyNumberFormat="1" applyFont="1" applyFill="1" applyBorder="1"/>
    <xf numFmtId="0" fontId="6" fillId="3" borderId="5" xfId="0" applyNumberFormat="1" applyFont="1" applyFill="1" applyBorder="1" applyAlignment="1">
      <alignment horizontal="center"/>
    </xf>
    <xf numFmtId="0" fontId="6" fillId="3" borderId="6" xfId="0" applyNumberFormat="1" applyFont="1" applyFill="1" applyBorder="1" applyAlignment="1">
      <alignment horizontal="center"/>
    </xf>
    <xf numFmtId="0" fontId="6" fillId="3" borderId="7" xfId="0" applyNumberFormat="1" applyFont="1" applyFill="1" applyBorder="1" applyAlignment="1">
      <alignment horizontal="center"/>
    </xf>
    <xf numFmtId="0" fontId="6" fillId="3" borderId="5" xfId="0" applyNumberFormat="1" applyFont="1" applyFill="1" applyBorder="1" applyAlignment="1">
      <alignment horizontal="center" vertical="center"/>
    </xf>
    <xf numFmtId="0" fontId="6" fillId="3" borderId="6" xfId="0" applyNumberFormat="1" applyFont="1" applyFill="1" applyBorder="1" applyAlignment="1">
      <alignment horizontal="center" vertical="center"/>
    </xf>
    <xf numFmtId="0" fontId="6" fillId="3" borderId="7" xfId="0" applyNumberFormat="1" applyFont="1" applyFill="1" applyBorder="1" applyAlignment="1">
      <alignment horizontal="center" vertical="center"/>
    </xf>
    <xf numFmtId="0" fontId="7" fillId="5" borderId="0" xfId="0" applyNumberFormat="1" applyFont="1" applyFill="1" applyBorder="1"/>
    <xf numFmtId="0" fontId="7" fillId="5" borderId="8" xfId="0" applyNumberFormat="1" applyFont="1" applyFill="1" applyBorder="1"/>
    <xf numFmtId="0" fontId="7" fillId="5" borderId="9" xfId="0" applyNumberFormat="1" applyFont="1" applyFill="1" applyBorder="1"/>
    <xf numFmtId="0" fontId="7" fillId="5" borderId="10" xfId="0" applyNumberFormat="1" applyFont="1" applyFill="1" applyBorder="1"/>
    <xf numFmtId="0" fontId="7" fillId="5" borderId="11" xfId="0" applyNumberFormat="1" applyFont="1" applyFill="1" applyBorder="1"/>
    <xf numFmtId="0" fontId="7" fillId="5" borderId="12" xfId="0" applyNumberFormat="1" applyFont="1" applyFill="1" applyBorder="1"/>
    <xf numFmtId="0" fontId="7" fillId="5" borderId="13" xfId="0" applyNumberFormat="1" applyFont="1" applyFill="1" applyBorder="1"/>
    <xf numFmtId="0" fontId="7" fillId="5" borderId="14" xfId="0" applyNumberFormat="1" applyFont="1" applyFill="1" applyBorder="1"/>
    <xf numFmtId="0" fontId="7" fillId="5" borderId="15" xfId="0" applyNumberFormat="1" applyFont="1" applyFill="1" applyBorder="1"/>
    <xf numFmtId="0" fontId="7" fillId="5" borderId="8" xfId="0" applyNumberFormat="1" applyFont="1" applyFill="1" applyBorder="1" applyAlignment="1">
      <alignment wrapText="1"/>
    </xf>
    <xf numFmtId="0" fontId="7" fillId="5" borderId="9" xfId="0" applyNumberFormat="1" applyFont="1" applyFill="1" applyBorder="1" applyAlignment="1">
      <alignment wrapText="1"/>
    </xf>
    <xf numFmtId="0" fontId="7" fillId="5" borderId="10" xfId="0" applyNumberFormat="1" applyFont="1" applyFill="1" applyBorder="1" applyAlignment="1">
      <alignment wrapText="1"/>
    </xf>
    <xf numFmtId="0" fontId="7" fillId="5" borderId="11" xfId="0" applyNumberFormat="1" applyFont="1" applyFill="1" applyBorder="1" applyAlignment="1">
      <alignment wrapText="1"/>
    </xf>
    <xf numFmtId="0" fontId="7" fillId="5" borderId="0" xfId="0" applyNumberFormat="1" applyFont="1" applyFill="1" applyBorder="1" applyAlignment="1">
      <alignment wrapText="1"/>
    </xf>
    <xf numFmtId="0" fontId="7" fillId="5" borderId="12" xfId="0" applyNumberFormat="1" applyFont="1" applyFill="1" applyBorder="1" applyAlignment="1">
      <alignment wrapText="1"/>
    </xf>
    <xf numFmtId="0" fontId="7" fillId="5" borderId="13" xfId="0" applyNumberFormat="1" applyFont="1" applyFill="1" applyBorder="1" applyAlignment="1">
      <alignment wrapText="1"/>
    </xf>
    <xf numFmtId="0" fontId="7" fillId="5" borderId="14" xfId="0" applyNumberFormat="1" applyFont="1" applyFill="1" applyBorder="1" applyAlignment="1">
      <alignment wrapText="1"/>
    </xf>
    <xf numFmtId="0" fontId="7" fillId="5" borderId="15" xfId="0" applyNumberFormat="1" applyFont="1" applyFill="1" applyBorder="1" applyAlignment="1">
      <alignment wrapText="1"/>
    </xf>
    <xf numFmtId="0" fontId="7" fillId="5" borderId="8" xfId="0" applyNumberFormat="1" applyFont="1" applyFill="1" applyBorder="1" applyAlignment="1">
      <alignment horizontal="center" wrapText="1"/>
    </xf>
    <xf numFmtId="0" fontId="7" fillId="5" borderId="9" xfId="0" applyNumberFormat="1" applyFont="1" applyFill="1" applyBorder="1" applyAlignment="1">
      <alignment horizontal="center" wrapText="1"/>
    </xf>
    <xf numFmtId="0" fontId="7" fillId="5" borderId="10" xfId="0" applyNumberFormat="1" applyFont="1" applyFill="1" applyBorder="1" applyAlignment="1">
      <alignment horizontal="center" wrapText="1"/>
    </xf>
    <xf numFmtId="0" fontId="7" fillId="5" borderId="11" xfId="0" applyNumberFormat="1" applyFont="1" applyFill="1" applyBorder="1" applyAlignment="1">
      <alignment horizontal="center" wrapText="1"/>
    </xf>
    <xf numFmtId="0" fontId="7" fillId="5" borderId="0" xfId="0" applyNumberFormat="1" applyFont="1" applyFill="1" applyBorder="1" applyAlignment="1">
      <alignment horizontal="center" wrapText="1"/>
    </xf>
    <xf numFmtId="0" fontId="7" fillId="5" borderId="12" xfId="0" applyNumberFormat="1" applyFont="1" applyFill="1" applyBorder="1" applyAlignment="1">
      <alignment horizontal="center" wrapText="1"/>
    </xf>
    <xf numFmtId="0" fontId="7" fillId="5" borderId="13" xfId="0" applyNumberFormat="1" applyFont="1" applyFill="1" applyBorder="1" applyAlignment="1">
      <alignment horizontal="center" wrapText="1"/>
    </xf>
    <xf numFmtId="0" fontId="7" fillId="5" borderId="14" xfId="0" applyNumberFormat="1" applyFont="1" applyFill="1" applyBorder="1" applyAlignment="1">
      <alignment horizontal="center" wrapText="1"/>
    </xf>
    <xf numFmtId="0" fontId="7" fillId="5" borderId="15" xfId="0" applyNumberFormat="1" applyFont="1" applyFill="1" applyBorder="1" applyAlignment="1">
      <alignment horizontal="center" wrapText="1"/>
    </xf>
    <xf numFmtId="0" fontId="7" fillId="5" borderId="8" xfId="0" applyNumberFormat="1" applyFont="1" applyFill="1" applyBorder="1" applyAlignment="1">
      <alignment horizontal="center" vertical="center" wrapText="1"/>
    </xf>
    <xf numFmtId="0" fontId="7" fillId="5" borderId="9" xfId="0" applyNumberFormat="1" applyFont="1" applyFill="1" applyBorder="1" applyAlignment="1">
      <alignment horizontal="center" vertical="center" wrapText="1"/>
    </xf>
    <xf numFmtId="0" fontId="7" fillId="5" borderId="10" xfId="0" applyNumberFormat="1" applyFont="1" applyFill="1" applyBorder="1" applyAlignment="1">
      <alignment horizontal="center" vertical="center" wrapText="1"/>
    </xf>
    <xf numFmtId="0" fontId="7" fillId="5" borderId="11" xfId="0" applyNumberFormat="1" applyFont="1" applyFill="1" applyBorder="1" applyAlignment="1">
      <alignment horizontal="center" vertical="center" wrapText="1"/>
    </xf>
    <xf numFmtId="0" fontId="7" fillId="5" borderId="0" xfId="0" applyNumberFormat="1" applyFont="1" applyFill="1" applyBorder="1" applyAlignment="1">
      <alignment horizontal="center" vertical="center" wrapText="1"/>
    </xf>
    <xf numFmtId="0" fontId="7" fillId="5" borderId="12" xfId="0" applyNumberFormat="1" applyFont="1" applyFill="1" applyBorder="1" applyAlignment="1">
      <alignment horizontal="center" vertical="center" wrapText="1"/>
    </xf>
    <xf numFmtId="0" fontId="7" fillId="5" borderId="13" xfId="0" applyNumberFormat="1" applyFont="1" applyFill="1" applyBorder="1" applyAlignment="1">
      <alignment horizontal="center" vertical="center" wrapText="1"/>
    </xf>
    <xf numFmtId="0" fontId="7" fillId="5" borderId="14" xfId="0" applyNumberFormat="1" applyFont="1" applyFill="1" applyBorder="1" applyAlignment="1">
      <alignment horizontal="center" vertical="center" wrapText="1"/>
    </xf>
    <xf numFmtId="0" fontId="7" fillId="5" borderId="15" xfId="0" applyNumberFormat="1" applyFont="1" applyFill="1" applyBorder="1" applyAlignment="1">
      <alignment horizontal="center" vertical="center" wrapText="1"/>
    </xf>
    <xf numFmtId="0" fontId="7" fillId="5" borderId="1" xfId="0" applyNumberFormat="1" applyFont="1" applyFill="1" applyBorder="1"/>
    <xf numFmtId="0" fontId="7" fillId="5" borderId="16" xfId="0" applyNumberFormat="1" applyFont="1" applyFill="1" applyBorder="1"/>
    <xf numFmtId="0" fontId="7" fillId="5" borderId="17" xfId="0" applyNumberFormat="1" applyFont="1" applyFill="1" applyBorder="1"/>
    <xf numFmtId="0" fontId="7" fillId="5" borderId="18" xfId="0" applyNumberFormat="1" applyFont="1" applyFill="1" applyBorder="1"/>
    <xf numFmtId="0" fontId="7" fillId="5" borderId="19" xfId="0" applyNumberFormat="1" applyFont="1" applyFill="1" applyBorder="1"/>
    <xf numFmtId="0" fontId="7" fillId="5" borderId="20" xfId="0" applyNumberFormat="1" applyFont="1" applyFill="1" applyBorder="1"/>
    <xf numFmtId="0" fontId="7" fillId="5" borderId="21" xfId="0" applyNumberFormat="1" applyFont="1" applyFill="1" applyBorder="1"/>
    <xf numFmtId="0" fontId="7" fillId="5" borderId="22" xfId="0" applyNumberFormat="1" applyFont="1" applyFill="1" applyBorder="1"/>
    <xf numFmtId="0" fontId="7" fillId="5" borderId="23" xfId="0" applyNumberFormat="1" applyFont="1" applyFill="1" applyBorder="1"/>
    <xf numFmtId="0" fontId="7" fillId="5" borderId="16" xfId="0" applyNumberFormat="1" applyFont="1" applyFill="1" applyBorder="1" applyAlignment="1">
      <alignment wrapText="1"/>
    </xf>
    <xf numFmtId="0" fontId="7" fillId="5" borderId="17" xfId="0" applyNumberFormat="1" applyFont="1" applyFill="1" applyBorder="1" applyAlignment="1">
      <alignment wrapText="1"/>
    </xf>
    <xf numFmtId="0" fontId="7" fillId="5" borderId="18" xfId="0" applyNumberFormat="1" applyFont="1" applyFill="1" applyBorder="1" applyAlignment="1">
      <alignment wrapText="1"/>
    </xf>
    <xf numFmtId="0" fontId="7" fillId="5" borderId="19" xfId="0" applyNumberFormat="1" applyFont="1" applyFill="1" applyBorder="1" applyAlignment="1">
      <alignment wrapText="1"/>
    </xf>
    <xf numFmtId="0" fontId="7" fillId="5" borderId="1" xfId="0" applyNumberFormat="1" applyFont="1" applyFill="1" applyBorder="1" applyAlignment="1">
      <alignment wrapText="1"/>
    </xf>
    <xf numFmtId="0" fontId="7" fillId="5" borderId="20" xfId="0" applyNumberFormat="1" applyFont="1" applyFill="1" applyBorder="1" applyAlignment="1">
      <alignment wrapText="1"/>
    </xf>
    <xf numFmtId="0" fontId="7" fillId="5" borderId="21" xfId="0" applyNumberFormat="1" applyFont="1" applyFill="1" applyBorder="1" applyAlignment="1">
      <alignment wrapText="1"/>
    </xf>
    <xf numFmtId="0" fontId="7" fillId="5" borderId="22" xfId="0" applyNumberFormat="1" applyFont="1" applyFill="1" applyBorder="1" applyAlignment="1">
      <alignment wrapText="1"/>
    </xf>
    <xf numFmtId="0" fontId="7" fillId="5" borderId="23" xfId="0" applyNumberFormat="1" applyFont="1" applyFill="1" applyBorder="1" applyAlignment="1">
      <alignment wrapText="1"/>
    </xf>
    <xf numFmtId="0" fontId="7" fillId="5" borderId="16" xfId="0" applyNumberFormat="1" applyFont="1" applyFill="1" applyBorder="1" applyAlignment="1">
      <alignment horizontal="center" wrapText="1"/>
    </xf>
    <xf numFmtId="0" fontId="7" fillId="5" borderId="17" xfId="0" applyNumberFormat="1" applyFont="1" applyFill="1" applyBorder="1" applyAlignment="1">
      <alignment horizontal="center" wrapText="1"/>
    </xf>
    <xf numFmtId="0" fontId="7" fillId="5" borderId="18" xfId="0" applyNumberFormat="1" applyFont="1" applyFill="1" applyBorder="1" applyAlignment="1">
      <alignment horizontal="center" wrapText="1"/>
    </xf>
    <xf numFmtId="0" fontId="7" fillId="5" borderId="19" xfId="0" applyNumberFormat="1" applyFont="1" applyFill="1" applyBorder="1" applyAlignment="1">
      <alignment horizontal="center" wrapText="1"/>
    </xf>
    <xf numFmtId="0" fontId="7" fillId="5" borderId="1" xfId="0" applyNumberFormat="1" applyFont="1" applyFill="1" applyBorder="1" applyAlignment="1">
      <alignment horizontal="center" wrapText="1"/>
    </xf>
    <xf numFmtId="0" fontId="7" fillId="5" borderId="20" xfId="0" applyNumberFormat="1" applyFont="1" applyFill="1" applyBorder="1" applyAlignment="1">
      <alignment horizontal="center" wrapText="1"/>
    </xf>
    <xf numFmtId="0" fontId="7" fillId="5" borderId="21" xfId="0" applyNumberFormat="1" applyFont="1" applyFill="1" applyBorder="1" applyAlignment="1">
      <alignment horizontal="center" wrapText="1"/>
    </xf>
    <xf numFmtId="0" fontId="7" fillId="5" borderId="22" xfId="0" applyNumberFormat="1" applyFont="1" applyFill="1" applyBorder="1" applyAlignment="1">
      <alignment horizontal="center" wrapText="1"/>
    </xf>
    <xf numFmtId="0" fontId="7" fillId="5" borderId="23" xfId="0" applyNumberFormat="1" applyFont="1" applyFill="1" applyBorder="1" applyAlignment="1">
      <alignment horizontal="center" wrapText="1"/>
    </xf>
    <xf numFmtId="0" fontId="7" fillId="5" borderId="16" xfId="0" applyNumberFormat="1" applyFont="1" applyFill="1" applyBorder="1" applyAlignment="1">
      <alignment horizontal="center" vertical="center" wrapText="1"/>
    </xf>
    <xf numFmtId="0" fontId="7" fillId="5" borderId="17" xfId="0" applyNumberFormat="1" applyFont="1" applyFill="1" applyBorder="1" applyAlignment="1">
      <alignment horizontal="center" vertical="center" wrapText="1"/>
    </xf>
    <xf numFmtId="0" fontId="7" fillId="5" borderId="18" xfId="0" applyNumberFormat="1" applyFont="1" applyFill="1" applyBorder="1" applyAlignment="1">
      <alignment horizontal="center" vertical="center" wrapText="1"/>
    </xf>
    <xf numFmtId="0" fontId="7" fillId="5" borderId="19" xfId="0" applyNumberFormat="1" applyFont="1" applyFill="1" applyBorder="1" applyAlignment="1">
      <alignment horizontal="center" vertical="center" wrapText="1"/>
    </xf>
    <xf numFmtId="0" fontId="7" fillId="5" borderId="1" xfId="0" applyNumberFormat="1" applyFont="1" applyFill="1" applyBorder="1" applyAlignment="1">
      <alignment horizontal="center" vertical="center" wrapText="1"/>
    </xf>
    <xf numFmtId="0" fontId="7" fillId="5" borderId="20" xfId="0" applyNumberFormat="1" applyFont="1" applyFill="1" applyBorder="1" applyAlignment="1">
      <alignment horizontal="center" vertical="center" wrapText="1"/>
    </xf>
    <xf numFmtId="0" fontId="7" fillId="5" borderId="21" xfId="0" applyNumberFormat="1" applyFont="1" applyFill="1" applyBorder="1" applyAlignment="1">
      <alignment horizontal="center" vertical="center" wrapText="1"/>
    </xf>
    <xf numFmtId="0" fontId="7" fillId="5" borderId="22" xfId="0" applyNumberFormat="1" applyFont="1" applyFill="1" applyBorder="1" applyAlignment="1">
      <alignment horizontal="center" vertical="center" wrapText="1"/>
    </xf>
    <xf numFmtId="0" fontId="7" fillId="5" borderId="23" xfId="0" applyNumberFormat="1" applyFont="1" applyFill="1" applyBorder="1" applyAlignment="1">
      <alignment horizontal="center" vertical="center" wrapText="1"/>
    </xf>
    <xf numFmtId="0" fontId="0" fillId="6" borderId="0" xfId="0" applyNumberFormat="1" applyFont="1" applyFill="1" applyBorder="1"/>
    <xf numFmtId="0" fontId="7" fillId="6" borderId="0" xfId="0" applyNumberFormat="1" applyFont="1" applyFill="1" applyBorder="1"/>
    <xf numFmtId="0" fontId="7" fillId="6" borderId="8" xfId="0" applyNumberFormat="1" applyFont="1" applyFill="1" applyBorder="1"/>
    <xf numFmtId="0" fontId="7" fillId="6" borderId="9" xfId="0" applyNumberFormat="1" applyFont="1" applyFill="1" applyBorder="1"/>
    <xf numFmtId="0" fontId="7" fillId="6" borderId="10" xfId="0" applyNumberFormat="1" applyFont="1" applyFill="1" applyBorder="1"/>
    <xf numFmtId="0" fontId="7" fillId="6" borderId="11" xfId="0" applyNumberFormat="1" applyFont="1" applyFill="1" applyBorder="1"/>
    <xf numFmtId="0" fontId="7" fillId="6" borderId="12" xfId="0" applyNumberFormat="1" applyFont="1" applyFill="1" applyBorder="1"/>
    <xf numFmtId="0" fontId="7" fillId="6" borderId="13" xfId="0" applyNumberFormat="1" applyFont="1" applyFill="1" applyBorder="1"/>
    <xf numFmtId="0" fontId="7" fillId="6" borderId="14" xfId="0" applyNumberFormat="1" applyFont="1" applyFill="1" applyBorder="1"/>
    <xf numFmtId="0" fontId="7" fillId="6" borderId="15" xfId="0" applyNumberFormat="1" applyFont="1" applyFill="1" applyBorder="1"/>
    <xf numFmtId="0" fontId="7" fillId="6" borderId="8" xfId="0" applyNumberFormat="1" applyFont="1" applyFill="1" applyBorder="1" applyAlignment="1">
      <alignment wrapText="1"/>
    </xf>
    <xf numFmtId="0" fontId="7" fillId="6" borderId="9" xfId="0" applyNumberFormat="1" applyFont="1" applyFill="1" applyBorder="1" applyAlignment="1">
      <alignment wrapText="1"/>
    </xf>
    <xf numFmtId="0" fontId="7" fillId="6" borderId="10" xfId="0" applyNumberFormat="1" applyFont="1" applyFill="1" applyBorder="1" applyAlignment="1">
      <alignment wrapText="1"/>
    </xf>
    <xf numFmtId="0" fontId="7" fillId="6" borderId="11" xfId="0" applyNumberFormat="1" applyFont="1" applyFill="1" applyBorder="1" applyAlignment="1">
      <alignment wrapText="1"/>
    </xf>
    <xf numFmtId="0" fontId="7" fillId="6" borderId="0" xfId="0" applyNumberFormat="1" applyFont="1" applyFill="1" applyBorder="1" applyAlignment="1">
      <alignment wrapText="1"/>
    </xf>
    <xf numFmtId="0" fontId="7" fillId="6" borderId="12" xfId="0" applyNumberFormat="1" applyFont="1" applyFill="1" applyBorder="1" applyAlignment="1">
      <alignment wrapText="1"/>
    </xf>
    <xf numFmtId="0" fontId="7" fillId="6" borderId="13" xfId="0" applyNumberFormat="1" applyFont="1" applyFill="1" applyBorder="1" applyAlignment="1">
      <alignment wrapText="1"/>
    </xf>
    <xf numFmtId="0" fontId="7" fillId="6" borderId="14" xfId="0" applyNumberFormat="1" applyFont="1" applyFill="1" applyBorder="1" applyAlignment="1">
      <alignment wrapText="1"/>
    </xf>
    <xf numFmtId="0" fontId="7" fillId="6" borderId="15" xfId="0" applyNumberFormat="1" applyFont="1" applyFill="1" applyBorder="1" applyAlignment="1">
      <alignment wrapText="1"/>
    </xf>
    <xf numFmtId="0" fontId="7" fillId="6" borderId="8" xfId="0" applyNumberFormat="1" applyFont="1" applyFill="1" applyBorder="1" applyAlignment="1">
      <alignment horizontal="center" wrapText="1"/>
    </xf>
    <xf numFmtId="0" fontId="7" fillId="6" borderId="9" xfId="0" applyNumberFormat="1" applyFont="1" applyFill="1" applyBorder="1" applyAlignment="1">
      <alignment horizontal="center" wrapText="1"/>
    </xf>
    <xf numFmtId="0" fontId="7" fillId="6" borderId="10" xfId="0" applyNumberFormat="1" applyFont="1" applyFill="1" applyBorder="1" applyAlignment="1">
      <alignment horizontal="center" wrapText="1"/>
    </xf>
    <xf numFmtId="0" fontId="7" fillId="6" borderId="11" xfId="0" applyNumberFormat="1" applyFont="1" applyFill="1" applyBorder="1" applyAlignment="1">
      <alignment horizontal="center" wrapText="1"/>
    </xf>
    <xf numFmtId="0" fontId="7" fillId="6" borderId="0" xfId="0" applyNumberFormat="1" applyFont="1" applyFill="1" applyBorder="1" applyAlignment="1">
      <alignment horizontal="center" wrapText="1"/>
    </xf>
    <xf numFmtId="0" fontId="7" fillId="6" borderId="12" xfId="0" applyNumberFormat="1" applyFont="1" applyFill="1" applyBorder="1" applyAlignment="1">
      <alignment horizontal="center" wrapText="1"/>
    </xf>
    <xf numFmtId="0" fontId="7" fillId="6" borderId="13" xfId="0" applyNumberFormat="1" applyFont="1" applyFill="1" applyBorder="1" applyAlignment="1">
      <alignment horizontal="center" wrapText="1"/>
    </xf>
    <xf numFmtId="0" fontId="7" fillId="6" borderId="14" xfId="0" applyNumberFormat="1" applyFont="1" applyFill="1" applyBorder="1" applyAlignment="1">
      <alignment horizontal="center" wrapText="1"/>
    </xf>
    <xf numFmtId="0" fontId="7" fillId="6" borderId="15" xfId="0" applyNumberFormat="1" applyFont="1" applyFill="1" applyBorder="1" applyAlignment="1">
      <alignment horizontal="center" wrapText="1"/>
    </xf>
    <xf numFmtId="0" fontId="7" fillId="6" borderId="8" xfId="0" applyNumberFormat="1" applyFont="1" applyFill="1" applyBorder="1" applyAlignment="1">
      <alignment horizontal="center" vertical="center" wrapText="1"/>
    </xf>
    <xf numFmtId="0" fontId="7" fillId="6" borderId="9" xfId="0" applyNumberFormat="1" applyFont="1" applyFill="1" applyBorder="1" applyAlignment="1">
      <alignment horizontal="center" vertical="center" wrapText="1"/>
    </xf>
    <xf numFmtId="0" fontId="7" fillId="6" borderId="10" xfId="0" applyNumberFormat="1" applyFont="1" applyFill="1" applyBorder="1" applyAlignment="1">
      <alignment horizontal="center" vertical="center" wrapText="1"/>
    </xf>
    <xf numFmtId="0" fontId="7" fillId="6" borderId="11" xfId="0" applyNumberFormat="1" applyFont="1" applyFill="1" applyBorder="1" applyAlignment="1">
      <alignment horizontal="center" vertical="center" wrapText="1"/>
    </xf>
    <xf numFmtId="0" fontId="7" fillId="6" borderId="0" xfId="0" applyNumberFormat="1" applyFont="1" applyFill="1" applyBorder="1" applyAlignment="1">
      <alignment horizontal="center" vertical="center" wrapText="1"/>
    </xf>
    <xf numFmtId="0" fontId="7" fillId="6" borderId="12" xfId="0" applyNumberFormat="1" applyFont="1" applyFill="1" applyBorder="1" applyAlignment="1">
      <alignment horizontal="center" vertical="center" wrapText="1"/>
    </xf>
    <xf numFmtId="0" fontId="7" fillId="6" borderId="13" xfId="0" applyNumberFormat="1" applyFont="1" applyFill="1" applyBorder="1" applyAlignment="1">
      <alignment horizontal="center" vertical="center" wrapText="1"/>
    </xf>
    <xf numFmtId="0" fontId="7" fillId="6" borderId="14" xfId="0" applyNumberFormat="1" applyFont="1" applyFill="1" applyBorder="1" applyAlignment="1">
      <alignment horizontal="center" vertical="center" wrapText="1"/>
    </xf>
    <xf numFmtId="0" fontId="7" fillId="6" borderId="15" xfId="0" applyNumberFormat="1" applyFont="1" applyFill="1" applyBorder="1" applyAlignment="1">
      <alignment horizontal="center" vertical="center" wrapText="1"/>
    </xf>
    <xf numFmtId="0" fontId="0" fillId="6" borderId="1" xfId="0" applyNumberFormat="1" applyFont="1" applyFill="1" applyBorder="1"/>
    <xf numFmtId="0" fontId="7" fillId="6" borderId="1" xfId="0" applyNumberFormat="1" applyFont="1" applyFill="1" applyBorder="1"/>
    <xf numFmtId="0" fontId="7" fillId="6" borderId="16" xfId="0" applyNumberFormat="1" applyFont="1" applyFill="1" applyBorder="1"/>
    <xf numFmtId="0" fontId="7" fillId="6" borderId="17" xfId="0" applyNumberFormat="1" applyFont="1" applyFill="1" applyBorder="1"/>
    <xf numFmtId="0" fontId="7" fillId="6" borderId="18" xfId="0" applyNumberFormat="1" applyFont="1" applyFill="1" applyBorder="1"/>
    <xf numFmtId="0" fontId="7" fillId="6" borderId="19" xfId="0" applyNumberFormat="1" applyFont="1" applyFill="1" applyBorder="1"/>
    <xf numFmtId="0" fontId="7" fillId="6" borderId="20" xfId="0" applyNumberFormat="1" applyFont="1" applyFill="1" applyBorder="1"/>
    <xf numFmtId="0" fontId="7" fillId="6" borderId="21" xfId="0" applyNumberFormat="1" applyFont="1" applyFill="1" applyBorder="1"/>
    <xf numFmtId="0" fontId="7" fillId="6" borderId="22" xfId="0" applyNumberFormat="1" applyFont="1" applyFill="1" applyBorder="1"/>
    <xf numFmtId="0" fontId="7" fillId="6" borderId="23" xfId="0" applyNumberFormat="1" applyFont="1" applyFill="1" applyBorder="1"/>
    <xf numFmtId="0" fontId="7" fillId="6" borderId="16" xfId="0" applyNumberFormat="1" applyFont="1" applyFill="1" applyBorder="1" applyAlignment="1">
      <alignment wrapText="1"/>
    </xf>
    <xf numFmtId="0" fontId="7" fillId="6" borderId="17" xfId="0" applyNumberFormat="1" applyFont="1" applyFill="1" applyBorder="1" applyAlignment="1">
      <alignment wrapText="1"/>
    </xf>
    <xf numFmtId="0" fontId="7" fillId="6" borderId="18" xfId="0" applyNumberFormat="1" applyFont="1" applyFill="1" applyBorder="1" applyAlignment="1">
      <alignment wrapText="1"/>
    </xf>
    <xf numFmtId="0" fontId="7" fillId="6" borderId="19" xfId="0" applyNumberFormat="1" applyFont="1" applyFill="1" applyBorder="1" applyAlignment="1">
      <alignment wrapText="1"/>
    </xf>
    <xf numFmtId="0" fontId="7" fillId="6" borderId="1" xfId="0" applyNumberFormat="1" applyFont="1" applyFill="1" applyBorder="1" applyAlignment="1">
      <alignment wrapText="1"/>
    </xf>
    <xf numFmtId="0" fontId="7" fillId="6" borderId="20" xfId="0" applyNumberFormat="1" applyFont="1" applyFill="1" applyBorder="1" applyAlignment="1">
      <alignment wrapText="1"/>
    </xf>
    <xf numFmtId="0" fontId="7" fillId="6" borderId="21" xfId="0" applyNumberFormat="1" applyFont="1" applyFill="1" applyBorder="1" applyAlignment="1">
      <alignment wrapText="1"/>
    </xf>
    <xf numFmtId="0" fontId="7" fillId="6" borderId="22" xfId="0" applyNumberFormat="1" applyFont="1" applyFill="1" applyBorder="1" applyAlignment="1">
      <alignment wrapText="1"/>
    </xf>
    <xf numFmtId="0" fontId="7" fillId="6" borderId="23" xfId="0" applyNumberFormat="1" applyFont="1" applyFill="1" applyBorder="1" applyAlignment="1">
      <alignment wrapText="1"/>
    </xf>
    <xf numFmtId="0" fontId="7" fillId="6" borderId="16" xfId="0" applyNumberFormat="1" applyFont="1" applyFill="1" applyBorder="1" applyAlignment="1">
      <alignment horizontal="center" wrapText="1"/>
    </xf>
    <xf numFmtId="0" fontId="7" fillId="6" borderId="17" xfId="0" applyNumberFormat="1" applyFont="1" applyFill="1" applyBorder="1" applyAlignment="1">
      <alignment horizontal="center" wrapText="1"/>
    </xf>
    <xf numFmtId="0" fontId="7" fillId="6" borderId="18" xfId="0" applyNumberFormat="1" applyFont="1" applyFill="1" applyBorder="1" applyAlignment="1">
      <alignment horizontal="center" wrapText="1"/>
    </xf>
    <xf numFmtId="0" fontId="7" fillId="6" borderId="19" xfId="0" applyNumberFormat="1" applyFont="1" applyFill="1" applyBorder="1" applyAlignment="1">
      <alignment horizontal="center" wrapText="1"/>
    </xf>
    <xf numFmtId="0" fontId="7" fillId="6" borderId="1" xfId="0" applyNumberFormat="1" applyFont="1" applyFill="1" applyBorder="1" applyAlignment="1">
      <alignment horizontal="center" wrapText="1"/>
    </xf>
    <xf numFmtId="0" fontId="7" fillId="6" borderId="20" xfId="0" applyNumberFormat="1" applyFont="1" applyFill="1" applyBorder="1" applyAlignment="1">
      <alignment horizontal="center" wrapText="1"/>
    </xf>
    <xf numFmtId="0" fontId="7" fillId="6" borderId="21" xfId="0" applyNumberFormat="1" applyFont="1" applyFill="1" applyBorder="1" applyAlignment="1">
      <alignment horizontal="center" wrapText="1"/>
    </xf>
    <xf numFmtId="0" fontId="7" fillId="6" borderId="22" xfId="0" applyNumberFormat="1" applyFont="1" applyFill="1" applyBorder="1" applyAlignment="1">
      <alignment horizontal="center" wrapText="1"/>
    </xf>
    <xf numFmtId="0" fontId="7" fillId="6" borderId="23" xfId="0" applyNumberFormat="1" applyFont="1" applyFill="1" applyBorder="1" applyAlignment="1">
      <alignment horizontal="center" wrapText="1"/>
    </xf>
    <xf numFmtId="0" fontId="7" fillId="6" borderId="16" xfId="0" applyNumberFormat="1" applyFont="1" applyFill="1" applyBorder="1" applyAlignment="1">
      <alignment horizontal="center" vertical="center" wrapText="1"/>
    </xf>
    <xf numFmtId="0" fontId="7" fillId="6" borderId="17" xfId="0" applyNumberFormat="1" applyFont="1" applyFill="1" applyBorder="1" applyAlignment="1">
      <alignment horizontal="center" vertical="center" wrapText="1"/>
    </xf>
    <xf numFmtId="0" fontId="7" fillId="6" borderId="18" xfId="0" applyNumberFormat="1" applyFont="1" applyFill="1" applyBorder="1" applyAlignment="1">
      <alignment horizontal="center" vertical="center" wrapText="1"/>
    </xf>
    <xf numFmtId="0" fontId="7" fillId="6" borderId="19" xfId="0" applyNumberFormat="1" applyFont="1" applyFill="1" applyBorder="1" applyAlignment="1">
      <alignment horizontal="center" vertical="center" wrapText="1"/>
    </xf>
    <xf numFmtId="0" fontId="7" fillId="6" borderId="1" xfId="0" applyNumberFormat="1" applyFont="1" applyFill="1" applyBorder="1" applyAlignment="1">
      <alignment horizontal="center" vertical="center" wrapText="1"/>
    </xf>
    <xf numFmtId="0" fontId="7" fillId="6" borderId="20" xfId="0" applyNumberFormat="1" applyFont="1" applyFill="1" applyBorder="1" applyAlignment="1">
      <alignment horizontal="center" vertical="center" wrapText="1"/>
    </xf>
    <xf numFmtId="0" fontId="7" fillId="6" borderId="21" xfId="0" applyNumberFormat="1" applyFont="1" applyFill="1" applyBorder="1" applyAlignment="1">
      <alignment horizontal="center" vertical="center" wrapText="1"/>
    </xf>
    <xf numFmtId="0" fontId="7" fillId="6" borderId="22" xfId="0" applyNumberFormat="1" applyFont="1" applyFill="1" applyBorder="1" applyAlignment="1">
      <alignment horizontal="center" vertical="center" wrapText="1"/>
    </xf>
    <xf numFmtId="0" fontId="7" fillId="6" borderId="23" xfId="0" applyNumberFormat="1" applyFont="1" applyFill="1" applyBorder="1" applyAlignment="1">
      <alignment horizontal="center" vertical="center" wrapText="1"/>
    </xf>
    <xf numFmtId="0" fontId="8" fillId="6" borderId="0" xfId="0" applyNumberFormat="1" applyFont="1" applyFill="1" applyBorder="1"/>
    <xf numFmtId="0" fontId="8" fillId="6" borderId="8" xfId="0" applyNumberFormat="1" applyFont="1" applyFill="1" applyBorder="1"/>
    <xf numFmtId="0" fontId="8" fillId="6" borderId="9" xfId="0" applyNumberFormat="1" applyFont="1" applyFill="1" applyBorder="1"/>
    <xf numFmtId="0" fontId="8" fillId="6" borderId="10" xfId="0" applyNumberFormat="1" applyFont="1" applyFill="1" applyBorder="1"/>
    <xf numFmtId="0" fontId="8" fillId="6" borderId="11" xfId="0" applyNumberFormat="1" applyFont="1" applyFill="1" applyBorder="1"/>
    <xf numFmtId="0" fontId="8" fillId="6" borderId="12" xfId="0" applyNumberFormat="1" applyFont="1" applyFill="1" applyBorder="1"/>
    <xf numFmtId="0" fontId="8" fillId="6" borderId="13" xfId="0" applyNumberFormat="1" applyFont="1" applyFill="1" applyBorder="1"/>
    <xf numFmtId="0" fontId="8" fillId="6" borderId="14" xfId="0" applyNumberFormat="1" applyFont="1" applyFill="1" applyBorder="1"/>
    <xf numFmtId="0" fontId="8" fillId="6" borderId="15" xfId="0" applyNumberFormat="1" applyFont="1" applyFill="1" applyBorder="1"/>
    <xf numFmtId="0" fontId="8" fillId="6" borderId="8" xfId="0" applyNumberFormat="1" applyFont="1" applyFill="1" applyBorder="1" applyAlignment="1">
      <alignment wrapText="1"/>
    </xf>
    <xf numFmtId="0" fontId="8" fillId="6" borderId="9" xfId="0" applyNumberFormat="1" applyFont="1" applyFill="1" applyBorder="1" applyAlignment="1">
      <alignment wrapText="1"/>
    </xf>
    <xf numFmtId="0" fontId="8" fillId="6" borderId="10" xfId="0" applyNumberFormat="1" applyFont="1" applyFill="1" applyBorder="1" applyAlignment="1">
      <alignment wrapText="1"/>
    </xf>
    <xf numFmtId="0" fontId="8" fillId="6" borderId="11" xfId="0" applyNumberFormat="1" applyFont="1" applyFill="1" applyBorder="1" applyAlignment="1">
      <alignment wrapText="1"/>
    </xf>
    <xf numFmtId="0" fontId="8" fillId="6" borderId="0" xfId="0" applyNumberFormat="1" applyFont="1" applyFill="1" applyBorder="1" applyAlignment="1">
      <alignment wrapText="1"/>
    </xf>
    <xf numFmtId="0" fontId="8" fillId="6" borderId="12" xfId="0" applyNumberFormat="1" applyFont="1" applyFill="1" applyBorder="1" applyAlignment="1">
      <alignment wrapText="1"/>
    </xf>
    <xf numFmtId="0" fontId="8" fillId="6" borderId="13" xfId="0" applyNumberFormat="1" applyFont="1" applyFill="1" applyBorder="1" applyAlignment="1">
      <alignment wrapText="1"/>
    </xf>
    <xf numFmtId="0" fontId="8" fillId="6" borderId="14" xfId="0" applyNumberFormat="1" applyFont="1" applyFill="1" applyBorder="1" applyAlignment="1">
      <alignment wrapText="1"/>
    </xf>
    <xf numFmtId="0" fontId="8" fillId="6" borderId="15" xfId="0" applyNumberFormat="1" applyFont="1" applyFill="1" applyBorder="1" applyAlignment="1">
      <alignment wrapText="1"/>
    </xf>
    <xf numFmtId="0" fontId="8" fillId="6" borderId="8" xfId="0" applyNumberFormat="1" applyFont="1" applyFill="1" applyBorder="1" applyAlignment="1">
      <alignment horizontal="center" wrapText="1"/>
    </xf>
    <xf numFmtId="0" fontId="8" fillId="6" borderId="9" xfId="0" applyNumberFormat="1" applyFont="1" applyFill="1" applyBorder="1" applyAlignment="1">
      <alignment horizontal="center" wrapText="1"/>
    </xf>
    <xf numFmtId="0" fontId="8" fillId="6" borderId="10" xfId="0" applyNumberFormat="1" applyFont="1" applyFill="1" applyBorder="1" applyAlignment="1">
      <alignment horizontal="center" wrapText="1"/>
    </xf>
    <xf numFmtId="0" fontId="8" fillId="6" borderId="11" xfId="0" applyNumberFormat="1" applyFont="1" applyFill="1" applyBorder="1" applyAlignment="1">
      <alignment horizontal="center" wrapText="1"/>
    </xf>
    <xf numFmtId="0" fontId="8" fillId="6" borderId="0" xfId="0" applyNumberFormat="1" applyFont="1" applyFill="1" applyBorder="1" applyAlignment="1">
      <alignment horizontal="center" wrapText="1"/>
    </xf>
    <xf numFmtId="0" fontId="8" fillId="6" borderId="12" xfId="0" applyNumberFormat="1" applyFont="1" applyFill="1" applyBorder="1" applyAlignment="1">
      <alignment horizontal="center" wrapText="1"/>
    </xf>
    <xf numFmtId="0" fontId="8" fillId="6" borderId="13" xfId="0" applyNumberFormat="1" applyFont="1" applyFill="1" applyBorder="1" applyAlignment="1">
      <alignment horizontal="center" wrapText="1"/>
    </xf>
    <xf numFmtId="0" fontId="8" fillId="6" borderId="14" xfId="0" applyNumberFormat="1" applyFont="1" applyFill="1" applyBorder="1" applyAlignment="1">
      <alignment horizontal="center" wrapText="1"/>
    </xf>
    <xf numFmtId="0" fontId="8" fillId="6" borderId="15" xfId="0" applyNumberFormat="1" applyFont="1" applyFill="1" applyBorder="1" applyAlignment="1">
      <alignment horizontal="center" wrapText="1"/>
    </xf>
    <xf numFmtId="0" fontId="8" fillId="6" borderId="8" xfId="0" applyNumberFormat="1" applyFont="1" applyFill="1" applyBorder="1" applyAlignment="1">
      <alignment horizontal="center" vertical="center" wrapText="1"/>
    </xf>
    <xf numFmtId="0" fontId="8" fillId="6" borderId="9" xfId="0" applyNumberFormat="1" applyFont="1" applyFill="1" applyBorder="1" applyAlignment="1">
      <alignment horizontal="center" vertical="center" wrapText="1"/>
    </xf>
    <xf numFmtId="0" fontId="8" fillId="6" borderId="10" xfId="0" applyNumberFormat="1" applyFont="1" applyFill="1" applyBorder="1" applyAlignment="1">
      <alignment horizontal="center" vertical="center" wrapText="1"/>
    </xf>
    <xf numFmtId="0" fontId="8" fillId="6" borderId="11" xfId="0" applyNumberFormat="1" applyFont="1" applyFill="1" applyBorder="1" applyAlignment="1">
      <alignment horizontal="center" vertical="center" wrapText="1"/>
    </xf>
    <xf numFmtId="0" fontId="8" fillId="6" borderId="0" xfId="0" applyNumberFormat="1" applyFont="1" applyFill="1" applyBorder="1" applyAlignment="1">
      <alignment horizontal="center" vertical="center" wrapText="1"/>
    </xf>
    <xf numFmtId="0" fontId="8" fillId="6" borderId="12" xfId="0" applyNumberFormat="1" applyFont="1" applyFill="1" applyBorder="1" applyAlignment="1">
      <alignment horizontal="center" vertical="center" wrapText="1"/>
    </xf>
    <xf numFmtId="0" fontId="8" fillId="6" borderId="13" xfId="0" applyNumberFormat="1" applyFont="1" applyFill="1" applyBorder="1" applyAlignment="1">
      <alignment horizontal="center" vertical="center" wrapText="1"/>
    </xf>
    <xf numFmtId="0" fontId="8" fillId="6" borderId="14" xfId="0" applyNumberFormat="1" applyFont="1" applyFill="1" applyBorder="1" applyAlignment="1">
      <alignment horizontal="center" vertical="center" wrapText="1"/>
    </xf>
    <xf numFmtId="0" fontId="8" fillId="6" borderId="15" xfId="0" applyNumberFormat="1" applyFont="1" applyFill="1" applyBorder="1" applyAlignment="1">
      <alignment horizontal="center" vertical="center" wrapText="1"/>
    </xf>
    <xf numFmtId="0" fontId="8" fillId="6" borderId="1" xfId="0" applyNumberFormat="1" applyFont="1" applyFill="1" applyBorder="1"/>
    <xf numFmtId="0" fontId="8" fillId="6" borderId="16" xfId="0" applyNumberFormat="1" applyFont="1" applyFill="1" applyBorder="1"/>
    <xf numFmtId="0" fontId="8" fillId="6" borderId="17" xfId="0" applyNumberFormat="1" applyFont="1" applyFill="1" applyBorder="1"/>
    <xf numFmtId="0" fontId="8" fillId="6" borderId="18" xfId="0" applyNumberFormat="1" applyFont="1" applyFill="1" applyBorder="1"/>
    <xf numFmtId="0" fontId="8" fillId="6" borderId="19" xfId="0" applyNumberFormat="1" applyFont="1" applyFill="1" applyBorder="1"/>
    <xf numFmtId="0" fontId="8" fillId="6" borderId="20" xfId="0" applyNumberFormat="1" applyFont="1" applyFill="1" applyBorder="1"/>
    <xf numFmtId="0" fontId="8" fillId="6" borderId="21" xfId="0" applyNumberFormat="1" applyFont="1" applyFill="1" applyBorder="1"/>
    <xf numFmtId="0" fontId="8" fillId="6" borderId="22" xfId="0" applyNumberFormat="1" applyFont="1" applyFill="1" applyBorder="1"/>
    <xf numFmtId="0" fontId="8" fillId="6" borderId="23" xfId="0" applyNumberFormat="1" applyFont="1" applyFill="1" applyBorder="1"/>
    <xf numFmtId="0" fontId="8" fillId="6" borderId="16" xfId="0" applyNumberFormat="1" applyFont="1" applyFill="1" applyBorder="1" applyAlignment="1">
      <alignment wrapText="1"/>
    </xf>
    <xf numFmtId="0" fontId="8" fillId="6" borderId="17" xfId="0" applyNumberFormat="1" applyFont="1" applyFill="1" applyBorder="1" applyAlignment="1">
      <alignment wrapText="1"/>
    </xf>
    <xf numFmtId="0" fontId="8" fillId="6" borderId="18" xfId="0" applyNumberFormat="1" applyFont="1" applyFill="1" applyBorder="1" applyAlignment="1">
      <alignment wrapText="1"/>
    </xf>
    <xf numFmtId="0" fontId="8" fillId="6" borderId="19" xfId="0" applyNumberFormat="1" applyFont="1" applyFill="1" applyBorder="1" applyAlignment="1">
      <alignment wrapText="1"/>
    </xf>
    <xf numFmtId="0" fontId="8" fillId="6" borderId="1" xfId="0" applyNumberFormat="1" applyFont="1" applyFill="1" applyBorder="1" applyAlignment="1">
      <alignment wrapText="1"/>
    </xf>
    <xf numFmtId="0" fontId="8" fillId="6" borderId="20" xfId="0" applyNumberFormat="1" applyFont="1" applyFill="1" applyBorder="1" applyAlignment="1">
      <alignment wrapText="1"/>
    </xf>
    <xf numFmtId="0" fontId="8" fillId="6" borderId="21" xfId="0" applyNumberFormat="1" applyFont="1" applyFill="1" applyBorder="1" applyAlignment="1">
      <alignment wrapText="1"/>
    </xf>
    <xf numFmtId="0" fontId="8" fillId="6" borderId="22" xfId="0" applyNumberFormat="1" applyFont="1" applyFill="1" applyBorder="1" applyAlignment="1">
      <alignment wrapText="1"/>
    </xf>
    <xf numFmtId="0" fontId="8" fillId="6" borderId="23" xfId="0" applyNumberFormat="1" applyFont="1" applyFill="1" applyBorder="1" applyAlignment="1">
      <alignment wrapText="1"/>
    </xf>
    <xf numFmtId="0" fontId="8" fillId="6" borderId="16" xfId="0" applyNumberFormat="1" applyFont="1" applyFill="1" applyBorder="1" applyAlignment="1">
      <alignment horizontal="center" wrapText="1"/>
    </xf>
    <xf numFmtId="0" fontId="8" fillId="6" borderId="17" xfId="0" applyNumberFormat="1" applyFont="1" applyFill="1" applyBorder="1" applyAlignment="1">
      <alignment horizontal="center" wrapText="1"/>
    </xf>
    <xf numFmtId="0" fontId="8" fillId="6" borderId="18" xfId="0" applyNumberFormat="1" applyFont="1" applyFill="1" applyBorder="1" applyAlignment="1">
      <alignment horizontal="center" wrapText="1"/>
    </xf>
    <xf numFmtId="0" fontId="8" fillId="6" borderId="19" xfId="0" applyNumberFormat="1" applyFont="1" applyFill="1" applyBorder="1" applyAlignment="1">
      <alignment horizontal="center" wrapText="1"/>
    </xf>
    <xf numFmtId="0" fontId="8" fillId="6" borderId="1" xfId="0" applyNumberFormat="1" applyFont="1" applyFill="1" applyBorder="1" applyAlignment="1">
      <alignment horizontal="center" wrapText="1"/>
    </xf>
    <xf numFmtId="0" fontId="8" fillId="6" borderId="20" xfId="0" applyNumberFormat="1" applyFont="1" applyFill="1" applyBorder="1" applyAlignment="1">
      <alignment horizontal="center" wrapText="1"/>
    </xf>
    <xf numFmtId="0" fontId="8" fillId="6" borderId="21" xfId="0" applyNumberFormat="1" applyFont="1" applyFill="1" applyBorder="1" applyAlignment="1">
      <alignment horizontal="center" wrapText="1"/>
    </xf>
    <xf numFmtId="0" fontId="8" fillId="6" borderId="22" xfId="0" applyNumberFormat="1" applyFont="1" applyFill="1" applyBorder="1" applyAlignment="1">
      <alignment horizontal="center" wrapText="1"/>
    </xf>
    <xf numFmtId="0" fontId="8" fillId="6" borderId="23" xfId="0" applyNumberFormat="1" applyFont="1" applyFill="1" applyBorder="1" applyAlignment="1">
      <alignment horizontal="center" wrapText="1"/>
    </xf>
    <xf numFmtId="0" fontId="8" fillId="6" borderId="16" xfId="0" applyNumberFormat="1" applyFont="1" applyFill="1" applyBorder="1" applyAlignment="1">
      <alignment horizontal="center" vertical="center" wrapText="1"/>
    </xf>
    <xf numFmtId="0" fontId="8" fillId="6" borderId="17" xfId="0" applyNumberFormat="1" applyFont="1" applyFill="1" applyBorder="1" applyAlignment="1">
      <alignment horizontal="center" vertical="center" wrapText="1"/>
    </xf>
    <xf numFmtId="0" fontId="8" fillId="6" borderId="18" xfId="0" applyNumberFormat="1" applyFont="1" applyFill="1" applyBorder="1" applyAlignment="1">
      <alignment horizontal="center" vertical="center" wrapText="1"/>
    </xf>
    <xf numFmtId="0" fontId="8" fillId="6" borderId="19" xfId="0" applyNumberFormat="1" applyFont="1" applyFill="1" applyBorder="1" applyAlignment="1">
      <alignment horizontal="center" vertical="center" wrapText="1"/>
    </xf>
    <xf numFmtId="0" fontId="8" fillId="6" borderId="1" xfId="0" applyNumberFormat="1" applyFont="1" applyFill="1" applyBorder="1" applyAlignment="1">
      <alignment horizontal="center" vertical="center" wrapText="1"/>
    </xf>
    <xf numFmtId="0" fontId="8" fillId="6" borderId="20" xfId="0" applyNumberFormat="1" applyFont="1" applyFill="1" applyBorder="1" applyAlignment="1">
      <alignment horizontal="center" vertical="center" wrapText="1"/>
    </xf>
    <xf numFmtId="0" fontId="8" fillId="6" borderId="21" xfId="0" applyNumberFormat="1" applyFont="1" applyFill="1" applyBorder="1" applyAlignment="1">
      <alignment horizontal="center" vertical="center" wrapText="1"/>
    </xf>
    <xf numFmtId="0" fontId="8" fillId="6" borderId="22" xfId="0" applyNumberFormat="1" applyFont="1" applyFill="1" applyBorder="1" applyAlignment="1">
      <alignment horizontal="center" vertical="center" wrapText="1"/>
    </xf>
    <xf numFmtId="0" fontId="8" fillId="6" borderId="23" xfId="0" applyNumberFormat="1" applyFont="1" applyFill="1" applyBorder="1" applyAlignment="1">
      <alignment horizontal="center" vertical="center" wrapText="1"/>
    </xf>
    <xf numFmtId="0" fontId="9" fillId="5" borderId="0" xfId="0" applyNumberFormat="1" applyFont="1" applyFill="1" applyBorder="1"/>
    <xf numFmtId="0" fontId="9" fillId="5" borderId="8" xfId="0" applyNumberFormat="1" applyFont="1" applyFill="1" applyBorder="1"/>
    <xf numFmtId="0" fontId="9" fillId="5" borderId="9" xfId="0" applyNumberFormat="1" applyFont="1" applyFill="1" applyBorder="1"/>
    <xf numFmtId="0" fontId="9" fillId="5" borderId="10" xfId="0" applyNumberFormat="1" applyFont="1" applyFill="1" applyBorder="1"/>
    <xf numFmtId="0" fontId="9" fillId="5" borderId="11" xfId="0" applyNumberFormat="1" applyFont="1" applyFill="1" applyBorder="1"/>
    <xf numFmtId="0" fontId="9" fillId="5" borderId="12" xfId="0" applyNumberFormat="1" applyFont="1" applyFill="1" applyBorder="1"/>
    <xf numFmtId="0" fontId="9" fillId="5" borderId="13" xfId="0" applyNumberFormat="1" applyFont="1" applyFill="1" applyBorder="1"/>
    <xf numFmtId="0" fontId="9" fillId="5" borderId="14" xfId="0" applyNumberFormat="1" applyFont="1" applyFill="1" applyBorder="1"/>
    <xf numFmtId="0" fontId="9" fillId="5" borderId="15" xfId="0" applyNumberFormat="1" applyFont="1" applyFill="1" applyBorder="1"/>
    <xf numFmtId="0" fontId="9" fillId="5" borderId="8" xfId="0" applyNumberFormat="1" applyFont="1" applyFill="1" applyBorder="1" applyAlignment="1">
      <alignment wrapText="1"/>
    </xf>
    <xf numFmtId="0" fontId="9" fillId="5" borderId="9" xfId="0" applyNumberFormat="1" applyFont="1" applyFill="1" applyBorder="1" applyAlignment="1">
      <alignment wrapText="1"/>
    </xf>
    <xf numFmtId="0" fontId="9" fillId="5" borderId="10" xfId="0" applyNumberFormat="1" applyFont="1" applyFill="1" applyBorder="1" applyAlignment="1">
      <alignment wrapText="1"/>
    </xf>
    <xf numFmtId="0" fontId="9" fillId="5" borderId="11" xfId="0" applyNumberFormat="1" applyFont="1" applyFill="1" applyBorder="1" applyAlignment="1">
      <alignment wrapText="1"/>
    </xf>
    <xf numFmtId="0" fontId="9" fillId="5" borderId="0" xfId="0" applyNumberFormat="1" applyFont="1" applyFill="1" applyBorder="1" applyAlignment="1">
      <alignment wrapText="1"/>
    </xf>
    <xf numFmtId="0" fontId="9" fillId="5" borderId="12" xfId="0" applyNumberFormat="1" applyFont="1" applyFill="1" applyBorder="1" applyAlignment="1">
      <alignment wrapText="1"/>
    </xf>
    <xf numFmtId="0" fontId="9" fillId="5" borderId="13" xfId="0" applyNumberFormat="1" applyFont="1" applyFill="1" applyBorder="1" applyAlignment="1">
      <alignment wrapText="1"/>
    </xf>
    <xf numFmtId="0" fontId="9" fillId="5" borderId="14" xfId="0" applyNumberFormat="1" applyFont="1" applyFill="1" applyBorder="1" applyAlignment="1">
      <alignment wrapText="1"/>
    </xf>
    <xf numFmtId="0" fontId="9" fillId="5" borderId="15" xfId="0" applyNumberFormat="1" applyFont="1" applyFill="1" applyBorder="1" applyAlignment="1">
      <alignment wrapText="1"/>
    </xf>
    <xf numFmtId="0" fontId="9" fillId="5" borderId="8" xfId="0" applyNumberFormat="1" applyFont="1" applyFill="1" applyBorder="1" applyAlignment="1">
      <alignment horizontal="left" wrapText="1"/>
    </xf>
    <xf numFmtId="0" fontId="9" fillId="5" borderId="9" xfId="0" applyNumberFormat="1" applyFont="1" applyFill="1" applyBorder="1" applyAlignment="1">
      <alignment horizontal="left" wrapText="1"/>
    </xf>
    <xf numFmtId="0" fontId="9" fillId="5" borderId="10" xfId="0" applyNumberFormat="1" applyFont="1" applyFill="1" applyBorder="1" applyAlignment="1">
      <alignment horizontal="left" wrapText="1"/>
    </xf>
    <xf numFmtId="0" fontId="9" fillId="5" borderId="11" xfId="0" applyNumberFormat="1" applyFont="1" applyFill="1" applyBorder="1" applyAlignment="1">
      <alignment horizontal="left" wrapText="1"/>
    </xf>
    <xf numFmtId="0" fontId="9" fillId="5" borderId="0" xfId="0" applyNumberFormat="1" applyFont="1" applyFill="1" applyBorder="1" applyAlignment="1">
      <alignment horizontal="left" wrapText="1"/>
    </xf>
    <xf numFmtId="0" fontId="9" fillId="5" borderId="12" xfId="0" applyNumberFormat="1" applyFont="1" applyFill="1" applyBorder="1" applyAlignment="1">
      <alignment horizontal="left" wrapText="1"/>
    </xf>
    <xf numFmtId="0" fontId="9" fillId="5" borderId="13" xfId="0" applyNumberFormat="1" applyFont="1" applyFill="1" applyBorder="1" applyAlignment="1">
      <alignment horizontal="left" wrapText="1"/>
    </xf>
    <xf numFmtId="0" fontId="9" fillId="5" borderId="14" xfId="0" applyNumberFormat="1" applyFont="1" applyFill="1" applyBorder="1" applyAlignment="1">
      <alignment horizontal="left" wrapText="1"/>
    </xf>
    <xf numFmtId="0" fontId="9" fillId="5" borderId="15" xfId="0" applyNumberFormat="1" applyFont="1" applyFill="1" applyBorder="1" applyAlignment="1">
      <alignment horizontal="left" wrapText="1"/>
    </xf>
    <xf numFmtId="0" fontId="9" fillId="5" borderId="8" xfId="0" applyNumberFormat="1" applyFont="1" applyFill="1" applyBorder="1" applyAlignment="1">
      <alignment horizontal="left" vertical="top" wrapText="1"/>
    </xf>
    <xf numFmtId="0" fontId="9" fillId="5" borderId="9" xfId="0" applyNumberFormat="1" applyFont="1" applyFill="1" applyBorder="1" applyAlignment="1">
      <alignment horizontal="left" vertical="top" wrapText="1"/>
    </xf>
    <xf numFmtId="0" fontId="9" fillId="5" borderId="10" xfId="0" applyNumberFormat="1" applyFont="1" applyFill="1" applyBorder="1" applyAlignment="1">
      <alignment horizontal="left" vertical="top" wrapText="1"/>
    </xf>
    <xf numFmtId="0" fontId="9" fillId="5" borderId="11" xfId="0" applyNumberFormat="1" applyFont="1" applyFill="1" applyBorder="1" applyAlignment="1">
      <alignment horizontal="left" vertical="top" wrapText="1"/>
    </xf>
    <xf numFmtId="0" fontId="9" fillId="5" borderId="0" xfId="0" applyNumberFormat="1" applyFont="1" applyFill="1" applyBorder="1" applyAlignment="1">
      <alignment horizontal="left" vertical="top" wrapText="1"/>
    </xf>
    <xf numFmtId="0" fontId="9" fillId="5" borderId="12" xfId="0" applyNumberFormat="1" applyFont="1" applyFill="1" applyBorder="1" applyAlignment="1">
      <alignment horizontal="left" vertical="top" wrapText="1"/>
    </xf>
    <xf numFmtId="0" fontId="9" fillId="5" borderId="13" xfId="0" applyNumberFormat="1" applyFont="1" applyFill="1" applyBorder="1" applyAlignment="1">
      <alignment horizontal="left" vertical="top" wrapText="1"/>
    </xf>
    <xf numFmtId="0" fontId="9" fillId="5" borderId="14" xfId="0" applyNumberFormat="1" applyFont="1" applyFill="1" applyBorder="1" applyAlignment="1">
      <alignment horizontal="left" vertical="top" wrapText="1"/>
    </xf>
    <xf numFmtId="0" fontId="9" fillId="5" borderId="15" xfId="0" applyNumberFormat="1" applyFont="1" applyFill="1" applyBorder="1" applyAlignment="1">
      <alignment horizontal="left" vertical="top" wrapText="1"/>
    </xf>
    <xf numFmtId="0" fontId="9" fillId="5" borderId="1" xfId="0" applyNumberFormat="1" applyFont="1" applyFill="1" applyBorder="1"/>
    <xf numFmtId="0" fontId="9" fillId="5" borderId="16" xfId="0" applyNumberFormat="1" applyFont="1" applyFill="1" applyBorder="1"/>
    <xf numFmtId="0" fontId="9" fillId="5" borderId="17" xfId="0" applyNumberFormat="1" applyFont="1" applyFill="1" applyBorder="1"/>
    <xf numFmtId="0" fontId="9" fillId="5" borderId="18" xfId="0" applyNumberFormat="1" applyFont="1" applyFill="1" applyBorder="1"/>
    <xf numFmtId="0" fontId="9" fillId="5" borderId="19" xfId="0" applyNumberFormat="1" applyFont="1" applyFill="1" applyBorder="1"/>
    <xf numFmtId="0" fontId="9" fillId="5" borderId="20" xfId="0" applyNumberFormat="1" applyFont="1" applyFill="1" applyBorder="1"/>
    <xf numFmtId="0" fontId="9" fillId="5" borderId="21" xfId="0" applyNumberFormat="1" applyFont="1" applyFill="1" applyBorder="1"/>
    <xf numFmtId="0" fontId="9" fillId="5" borderId="22" xfId="0" applyNumberFormat="1" applyFont="1" applyFill="1" applyBorder="1"/>
    <xf numFmtId="0" fontId="9" fillId="5" borderId="23" xfId="0" applyNumberFormat="1" applyFont="1" applyFill="1" applyBorder="1"/>
    <xf numFmtId="0" fontId="9" fillId="5" borderId="16" xfId="0" applyNumberFormat="1" applyFont="1" applyFill="1" applyBorder="1" applyAlignment="1">
      <alignment wrapText="1"/>
    </xf>
    <xf numFmtId="0" fontId="9" fillId="5" borderId="17" xfId="0" applyNumberFormat="1" applyFont="1" applyFill="1" applyBorder="1" applyAlignment="1">
      <alignment wrapText="1"/>
    </xf>
    <xf numFmtId="0" fontId="9" fillId="5" borderId="18" xfId="0" applyNumberFormat="1" applyFont="1" applyFill="1" applyBorder="1" applyAlignment="1">
      <alignment wrapText="1"/>
    </xf>
    <xf numFmtId="0" fontId="9" fillId="5" borderId="19" xfId="0" applyNumberFormat="1" applyFont="1" applyFill="1" applyBorder="1" applyAlignment="1">
      <alignment wrapText="1"/>
    </xf>
    <xf numFmtId="0" fontId="9" fillId="5" borderId="1" xfId="0" applyNumberFormat="1" applyFont="1" applyFill="1" applyBorder="1" applyAlignment="1">
      <alignment wrapText="1"/>
    </xf>
    <xf numFmtId="0" fontId="9" fillId="5" borderId="20" xfId="0" applyNumberFormat="1" applyFont="1" applyFill="1" applyBorder="1" applyAlignment="1">
      <alignment wrapText="1"/>
    </xf>
    <xf numFmtId="0" fontId="9" fillId="5" borderId="21" xfId="0" applyNumberFormat="1" applyFont="1" applyFill="1" applyBorder="1" applyAlignment="1">
      <alignment wrapText="1"/>
    </xf>
    <xf numFmtId="0" fontId="9" fillId="5" borderId="22" xfId="0" applyNumberFormat="1" applyFont="1" applyFill="1" applyBorder="1" applyAlignment="1">
      <alignment wrapText="1"/>
    </xf>
    <xf numFmtId="0" fontId="9" fillId="5" borderId="23" xfId="0" applyNumberFormat="1" applyFont="1" applyFill="1" applyBorder="1" applyAlignment="1">
      <alignment wrapText="1"/>
    </xf>
    <xf numFmtId="0" fontId="9" fillId="5" borderId="16" xfId="0" applyNumberFormat="1" applyFont="1" applyFill="1" applyBorder="1" applyAlignment="1">
      <alignment horizontal="left" wrapText="1"/>
    </xf>
    <xf numFmtId="0" fontId="9" fillId="5" borderId="17" xfId="0" applyNumberFormat="1" applyFont="1" applyFill="1" applyBorder="1" applyAlignment="1">
      <alignment horizontal="left" wrapText="1"/>
    </xf>
    <xf numFmtId="0" fontId="9" fillId="5" borderId="18" xfId="0" applyNumberFormat="1" applyFont="1" applyFill="1" applyBorder="1" applyAlignment="1">
      <alignment horizontal="left" wrapText="1"/>
    </xf>
    <xf numFmtId="0" fontId="9" fillId="5" borderId="19" xfId="0" applyNumberFormat="1" applyFont="1" applyFill="1" applyBorder="1" applyAlignment="1">
      <alignment horizontal="left" wrapText="1"/>
    </xf>
    <xf numFmtId="0" fontId="9" fillId="5" borderId="1" xfId="0" applyNumberFormat="1" applyFont="1" applyFill="1" applyBorder="1" applyAlignment="1">
      <alignment horizontal="left" wrapText="1"/>
    </xf>
    <xf numFmtId="0" fontId="9" fillId="5" borderId="20" xfId="0" applyNumberFormat="1" applyFont="1" applyFill="1" applyBorder="1" applyAlignment="1">
      <alignment horizontal="left" wrapText="1"/>
    </xf>
    <xf numFmtId="0" fontId="9" fillId="5" borderId="21" xfId="0" applyNumberFormat="1" applyFont="1" applyFill="1" applyBorder="1" applyAlignment="1">
      <alignment horizontal="left" wrapText="1"/>
    </xf>
    <xf numFmtId="0" fontId="9" fillId="5" borderId="22" xfId="0" applyNumberFormat="1" applyFont="1" applyFill="1" applyBorder="1" applyAlignment="1">
      <alignment horizontal="left" wrapText="1"/>
    </xf>
    <xf numFmtId="0" fontId="9" fillId="5" borderId="23" xfId="0" applyNumberFormat="1" applyFont="1" applyFill="1" applyBorder="1" applyAlignment="1">
      <alignment horizontal="left" wrapText="1"/>
    </xf>
    <xf numFmtId="0" fontId="9" fillId="5" borderId="16" xfId="0" applyNumberFormat="1" applyFont="1" applyFill="1" applyBorder="1" applyAlignment="1">
      <alignment horizontal="left" vertical="top" wrapText="1"/>
    </xf>
    <xf numFmtId="0" fontId="9" fillId="5" borderId="17" xfId="0" applyNumberFormat="1" applyFont="1" applyFill="1" applyBorder="1" applyAlignment="1">
      <alignment horizontal="left" vertical="top" wrapText="1"/>
    </xf>
    <xf numFmtId="0" fontId="9" fillId="5" borderId="18" xfId="0" applyNumberFormat="1" applyFont="1" applyFill="1" applyBorder="1" applyAlignment="1">
      <alignment horizontal="left" vertical="top" wrapText="1"/>
    </xf>
    <xf numFmtId="0" fontId="9" fillId="5" borderId="19" xfId="0" applyNumberFormat="1" applyFont="1" applyFill="1" applyBorder="1" applyAlignment="1">
      <alignment horizontal="left" vertical="top" wrapText="1"/>
    </xf>
    <xf numFmtId="0" fontId="9" fillId="5" borderId="1" xfId="0" applyNumberFormat="1" applyFont="1" applyFill="1" applyBorder="1" applyAlignment="1">
      <alignment horizontal="left" vertical="top" wrapText="1"/>
    </xf>
    <xf numFmtId="0" fontId="9" fillId="5" borderId="20" xfId="0" applyNumberFormat="1" applyFont="1" applyFill="1" applyBorder="1" applyAlignment="1">
      <alignment horizontal="left" vertical="top" wrapText="1"/>
    </xf>
    <xf numFmtId="0" fontId="9" fillId="5" borderId="21" xfId="0" applyNumberFormat="1" applyFont="1" applyFill="1" applyBorder="1" applyAlignment="1">
      <alignment horizontal="left" vertical="top" wrapText="1"/>
    </xf>
    <xf numFmtId="0" fontId="9" fillId="5" borderId="22" xfId="0" applyNumberFormat="1" applyFont="1" applyFill="1" applyBorder="1" applyAlignment="1">
      <alignment horizontal="left" vertical="top" wrapText="1"/>
    </xf>
    <xf numFmtId="0" fontId="9" fillId="5" borderId="23" xfId="0" applyNumberFormat="1" applyFont="1" applyFill="1" applyBorder="1" applyAlignment="1">
      <alignment horizontal="left" vertical="top" wrapText="1"/>
    </xf>
    <xf numFmtId="0" fontId="10" fillId="5" borderId="0" xfId="0" applyNumberFormat="1" applyFont="1" applyFill="1" applyBorder="1"/>
    <xf numFmtId="0" fontId="10" fillId="5" borderId="8" xfId="0" applyNumberFormat="1" applyFont="1" applyFill="1" applyBorder="1"/>
    <xf numFmtId="0" fontId="10" fillId="5" borderId="10" xfId="0" applyNumberFormat="1" applyFont="1" applyFill="1" applyBorder="1"/>
    <xf numFmtId="0" fontId="10" fillId="5" borderId="13" xfId="0" applyNumberFormat="1" applyFont="1" applyFill="1" applyBorder="1"/>
    <xf numFmtId="0" fontId="10" fillId="5" borderId="15" xfId="0" applyNumberFormat="1" applyFont="1" applyFill="1" applyBorder="1"/>
    <xf numFmtId="0" fontId="10" fillId="5" borderId="8" xfId="0" applyNumberFormat="1" applyFont="1" applyFill="1" applyBorder="1" applyAlignment="1">
      <alignment wrapText="1"/>
    </xf>
    <xf numFmtId="0" fontId="10" fillId="5" borderId="10" xfId="0" applyNumberFormat="1" applyFont="1" applyFill="1" applyBorder="1" applyAlignment="1">
      <alignment wrapText="1"/>
    </xf>
    <xf numFmtId="0" fontId="10" fillId="5" borderId="13" xfId="0" applyNumberFormat="1" applyFont="1" applyFill="1" applyBorder="1" applyAlignment="1">
      <alignment wrapText="1"/>
    </xf>
    <xf numFmtId="0" fontId="10" fillId="5" borderId="15" xfId="0" applyNumberFormat="1" applyFont="1" applyFill="1" applyBorder="1" applyAlignment="1">
      <alignment wrapText="1"/>
    </xf>
    <xf numFmtId="0" fontId="10" fillId="5" borderId="8" xfId="0" applyNumberFormat="1" applyFont="1" applyFill="1" applyBorder="1" applyAlignment="1">
      <alignment horizontal="center" wrapText="1"/>
    </xf>
    <xf numFmtId="0" fontId="10" fillId="5" borderId="10" xfId="0" applyNumberFormat="1" applyFont="1" applyFill="1" applyBorder="1" applyAlignment="1">
      <alignment horizontal="center" wrapText="1"/>
    </xf>
    <xf numFmtId="0" fontId="10" fillId="5" borderId="13" xfId="0" applyNumberFormat="1" applyFont="1" applyFill="1" applyBorder="1" applyAlignment="1">
      <alignment horizontal="center" wrapText="1"/>
    </xf>
    <xf numFmtId="0" fontId="10" fillId="5" borderId="15" xfId="0" applyNumberFormat="1" applyFont="1" applyFill="1" applyBorder="1" applyAlignment="1">
      <alignment horizontal="center" wrapText="1"/>
    </xf>
    <xf numFmtId="0" fontId="10" fillId="5" borderId="8" xfId="0" applyNumberFormat="1" applyFont="1" applyFill="1" applyBorder="1" applyAlignment="1">
      <alignment horizontal="center" vertical="center" wrapText="1"/>
    </xf>
    <xf numFmtId="0" fontId="10" fillId="5" borderId="10" xfId="0" applyNumberFormat="1" applyFont="1" applyFill="1" applyBorder="1" applyAlignment="1">
      <alignment horizontal="center" vertical="center" wrapText="1"/>
    </xf>
    <xf numFmtId="0" fontId="10" fillId="5" borderId="13" xfId="0" applyNumberFormat="1" applyFont="1" applyFill="1" applyBorder="1" applyAlignment="1">
      <alignment horizontal="center" vertical="center" wrapText="1"/>
    </xf>
    <xf numFmtId="0" fontId="10" fillId="5" borderId="15" xfId="0" applyNumberFormat="1" applyFont="1" applyFill="1" applyBorder="1" applyAlignment="1">
      <alignment horizontal="center" vertical="center" wrapText="1"/>
    </xf>
    <xf numFmtId="0" fontId="10" fillId="5" borderId="1" xfId="0" applyNumberFormat="1" applyFont="1" applyFill="1" applyBorder="1"/>
    <xf numFmtId="0" fontId="10" fillId="5" borderId="16" xfId="0" applyNumberFormat="1" applyFont="1" applyFill="1" applyBorder="1"/>
    <xf numFmtId="0" fontId="10" fillId="5" borderId="18" xfId="0" applyNumberFormat="1" applyFont="1" applyFill="1" applyBorder="1"/>
    <xf numFmtId="0" fontId="10" fillId="5" borderId="21" xfId="0" applyNumberFormat="1" applyFont="1" applyFill="1" applyBorder="1"/>
    <xf numFmtId="0" fontId="10" fillId="5" borderId="23" xfId="0" applyNumberFormat="1" applyFont="1" applyFill="1" applyBorder="1"/>
    <xf numFmtId="0" fontId="10" fillId="5" borderId="16" xfId="0" applyNumberFormat="1" applyFont="1" applyFill="1" applyBorder="1" applyAlignment="1">
      <alignment wrapText="1"/>
    </xf>
    <xf numFmtId="0" fontId="10" fillId="5" borderId="18" xfId="0" applyNumberFormat="1" applyFont="1" applyFill="1" applyBorder="1" applyAlignment="1">
      <alignment wrapText="1"/>
    </xf>
    <xf numFmtId="0" fontId="10" fillId="5" borderId="21" xfId="0" applyNumberFormat="1" applyFont="1" applyFill="1" applyBorder="1" applyAlignment="1">
      <alignment wrapText="1"/>
    </xf>
    <xf numFmtId="0" fontId="10" fillId="5" borderId="23" xfId="0" applyNumberFormat="1" applyFont="1" applyFill="1" applyBorder="1" applyAlignment="1">
      <alignment wrapText="1"/>
    </xf>
    <xf numFmtId="0" fontId="10" fillId="5" borderId="16" xfId="0" applyNumberFormat="1" applyFont="1" applyFill="1" applyBorder="1" applyAlignment="1">
      <alignment horizontal="center" wrapText="1"/>
    </xf>
    <xf numFmtId="0" fontId="10" fillId="5" borderId="18" xfId="0" applyNumberFormat="1" applyFont="1" applyFill="1" applyBorder="1" applyAlignment="1">
      <alignment horizontal="center" wrapText="1"/>
    </xf>
    <xf numFmtId="0" fontId="10" fillId="5" borderId="21" xfId="0" applyNumberFormat="1" applyFont="1" applyFill="1" applyBorder="1" applyAlignment="1">
      <alignment horizontal="center" wrapText="1"/>
    </xf>
    <xf numFmtId="0" fontId="10" fillId="5" borderId="23" xfId="0" applyNumberFormat="1" applyFont="1" applyFill="1" applyBorder="1" applyAlignment="1">
      <alignment horizontal="center" wrapText="1"/>
    </xf>
    <xf numFmtId="0" fontId="10" fillId="5" borderId="16" xfId="0" applyNumberFormat="1" applyFont="1" applyFill="1" applyBorder="1" applyAlignment="1">
      <alignment horizontal="center" vertical="center" wrapText="1"/>
    </xf>
    <xf numFmtId="0" fontId="10" fillId="5" borderId="18" xfId="0" applyNumberFormat="1" applyFont="1" applyFill="1" applyBorder="1" applyAlignment="1">
      <alignment horizontal="center" vertical="center" wrapText="1"/>
    </xf>
    <xf numFmtId="0" fontId="10" fillId="5" borderId="21" xfId="0" applyNumberFormat="1" applyFont="1" applyFill="1" applyBorder="1" applyAlignment="1">
      <alignment horizontal="center" vertical="center" wrapText="1"/>
    </xf>
    <xf numFmtId="0" fontId="10" fillId="5" borderId="23" xfId="0" applyNumberFormat="1" applyFont="1" applyFill="1" applyBorder="1" applyAlignment="1">
      <alignment horizontal="center" vertical="center" wrapText="1"/>
    </xf>
    <xf numFmtId="0" fontId="9" fillId="4" borderId="0" xfId="0" applyNumberFormat="1" applyFont="1" applyFill="1" applyBorder="1"/>
    <xf numFmtId="0" fontId="9" fillId="4" borderId="8" xfId="0" applyNumberFormat="1" applyFont="1" applyFill="1" applyBorder="1"/>
    <xf numFmtId="0" fontId="9" fillId="4" borderId="9" xfId="0" applyNumberFormat="1" applyFont="1" applyFill="1" applyBorder="1"/>
    <xf numFmtId="0" fontId="9" fillId="4" borderId="10" xfId="0" applyNumberFormat="1" applyFont="1" applyFill="1" applyBorder="1"/>
    <xf numFmtId="0" fontId="9" fillId="4" borderId="13" xfId="0" applyNumberFormat="1" applyFont="1" applyFill="1" applyBorder="1"/>
    <xf numFmtId="0" fontId="9" fillId="4" borderId="14" xfId="0" applyNumberFormat="1" applyFont="1" applyFill="1" applyBorder="1"/>
    <xf numFmtId="0" fontId="9" fillId="4" borderId="15" xfId="0" applyNumberFormat="1" applyFont="1" applyFill="1" applyBorder="1"/>
    <xf numFmtId="0" fontId="9" fillId="4" borderId="8" xfId="0" applyNumberFormat="1" applyFont="1" applyFill="1" applyBorder="1" applyAlignment="1">
      <alignment wrapText="1"/>
    </xf>
    <xf numFmtId="0" fontId="9" fillId="4" borderId="9" xfId="0" applyNumberFormat="1" applyFont="1" applyFill="1" applyBorder="1" applyAlignment="1">
      <alignment wrapText="1"/>
    </xf>
    <xf numFmtId="0" fontId="9" fillId="4" borderId="10" xfId="0" applyNumberFormat="1" applyFont="1" applyFill="1" applyBorder="1" applyAlignment="1">
      <alignment wrapText="1"/>
    </xf>
    <xf numFmtId="0" fontId="9" fillId="4" borderId="13" xfId="0" applyNumberFormat="1" applyFont="1" applyFill="1" applyBorder="1" applyAlignment="1">
      <alignment wrapText="1"/>
    </xf>
    <xf numFmtId="0" fontId="9" fillId="4" borderId="14" xfId="0" applyNumberFormat="1" applyFont="1" applyFill="1" applyBorder="1" applyAlignment="1">
      <alignment wrapText="1"/>
    </xf>
    <xf numFmtId="0" fontId="9" fillId="4" borderId="15" xfId="0" applyNumberFormat="1" applyFont="1" applyFill="1" applyBorder="1" applyAlignment="1">
      <alignment wrapText="1"/>
    </xf>
    <xf numFmtId="0" fontId="9" fillId="4" borderId="8" xfId="0" applyNumberFormat="1" applyFont="1" applyFill="1" applyBorder="1" applyAlignment="1">
      <alignment horizontal="left" wrapText="1"/>
    </xf>
    <xf numFmtId="0" fontId="9" fillId="4" borderId="9" xfId="0" applyNumberFormat="1" applyFont="1" applyFill="1" applyBorder="1" applyAlignment="1">
      <alignment horizontal="left" wrapText="1"/>
    </xf>
    <xf numFmtId="0" fontId="9" fillId="4" borderId="10" xfId="0" applyNumberFormat="1" applyFont="1" applyFill="1" applyBorder="1" applyAlignment="1">
      <alignment horizontal="left" wrapText="1"/>
    </xf>
    <xf numFmtId="0" fontId="9" fillId="4" borderId="13" xfId="0" applyNumberFormat="1" applyFont="1" applyFill="1" applyBorder="1" applyAlignment="1">
      <alignment horizontal="left" wrapText="1"/>
    </xf>
    <xf numFmtId="0" fontId="9" fillId="4" borderId="14" xfId="0" applyNumberFormat="1" applyFont="1" applyFill="1" applyBorder="1" applyAlignment="1">
      <alignment horizontal="left" wrapText="1"/>
    </xf>
    <xf numFmtId="0" fontId="9" fillId="4" borderId="15" xfId="0" applyNumberFormat="1" applyFont="1" applyFill="1" applyBorder="1" applyAlignment="1">
      <alignment horizontal="left" wrapText="1"/>
    </xf>
    <xf numFmtId="0" fontId="9" fillId="4" borderId="8" xfId="0" applyNumberFormat="1" applyFont="1" applyFill="1" applyBorder="1" applyAlignment="1">
      <alignment horizontal="left" vertical="center" wrapText="1"/>
    </xf>
    <xf numFmtId="0" fontId="9" fillId="4" borderId="9" xfId="0" applyNumberFormat="1" applyFont="1" applyFill="1" applyBorder="1" applyAlignment="1">
      <alignment horizontal="left" vertical="center" wrapText="1"/>
    </xf>
    <xf numFmtId="0" fontId="9" fillId="4" borderId="10" xfId="0" applyNumberFormat="1" applyFont="1" applyFill="1" applyBorder="1" applyAlignment="1">
      <alignment horizontal="left" vertical="center" wrapText="1"/>
    </xf>
    <xf numFmtId="0" fontId="9" fillId="4" borderId="13" xfId="0" applyNumberFormat="1" applyFont="1" applyFill="1" applyBorder="1" applyAlignment="1">
      <alignment horizontal="left" vertical="center" wrapText="1"/>
    </xf>
    <xf numFmtId="0" fontId="9" fillId="4" borderId="14" xfId="0" applyNumberFormat="1" applyFont="1" applyFill="1" applyBorder="1" applyAlignment="1">
      <alignment horizontal="left" vertical="center" wrapText="1"/>
    </xf>
    <xf numFmtId="0" fontId="9" fillId="4" borderId="15" xfId="0" applyNumberFormat="1" applyFont="1" applyFill="1" applyBorder="1" applyAlignment="1">
      <alignment horizontal="left" vertical="center" wrapText="1"/>
    </xf>
    <xf numFmtId="0" fontId="9" fillId="4" borderId="1" xfId="0" applyNumberFormat="1" applyFont="1" applyFill="1" applyBorder="1"/>
    <xf numFmtId="0" fontId="9" fillId="4" borderId="16" xfId="0" applyNumberFormat="1" applyFont="1" applyFill="1" applyBorder="1"/>
    <xf numFmtId="0" fontId="9" fillId="4" borderId="17" xfId="0" applyNumberFormat="1" applyFont="1" applyFill="1" applyBorder="1"/>
    <xf numFmtId="0" fontId="9" fillId="4" borderId="18" xfId="0" applyNumberFormat="1" applyFont="1" applyFill="1" applyBorder="1"/>
    <xf numFmtId="0" fontId="9" fillId="4" borderId="21" xfId="0" applyNumberFormat="1" applyFont="1" applyFill="1" applyBorder="1"/>
    <xf numFmtId="0" fontId="9" fillId="4" borderId="22" xfId="0" applyNumberFormat="1" applyFont="1" applyFill="1" applyBorder="1"/>
    <xf numFmtId="0" fontId="9" fillId="4" borderId="23" xfId="0" applyNumberFormat="1" applyFont="1" applyFill="1" applyBorder="1"/>
    <xf numFmtId="0" fontId="9" fillId="4" borderId="16" xfId="0" applyNumberFormat="1" applyFont="1" applyFill="1" applyBorder="1" applyAlignment="1">
      <alignment wrapText="1"/>
    </xf>
    <xf numFmtId="0" fontId="9" fillId="4" borderId="17" xfId="0" applyNumberFormat="1" applyFont="1" applyFill="1" applyBorder="1" applyAlignment="1">
      <alignment wrapText="1"/>
    </xf>
    <xf numFmtId="0" fontId="9" fillId="4" borderId="18" xfId="0" applyNumberFormat="1" applyFont="1" applyFill="1" applyBorder="1" applyAlignment="1">
      <alignment wrapText="1"/>
    </xf>
    <xf numFmtId="0" fontId="9" fillId="4" borderId="21" xfId="0" applyNumberFormat="1" applyFont="1" applyFill="1" applyBorder="1" applyAlignment="1">
      <alignment wrapText="1"/>
    </xf>
    <xf numFmtId="0" fontId="9" fillId="4" borderId="22" xfId="0" applyNumberFormat="1" applyFont="1" applyFill="1" applyBorder="1" applyAlignment="1">
      <alignment wrapText="1"/>
    </xf>
    <xf numFmtId="0" fontId="9" fillId="4" borderId="23" xfId="0" applyNumberFormat="1" applyFont="1" applyFill="1" applyBorder="1" applyAlignment="1">
      <alignment wrapText="1"/>
    </xf>
    <xf numFmtId="0" fontId="9" fillId="4" borderId="16" xfId="0" applyNumberFormat="1" applyFont="1" applyFill="1" applyBorder="1" applyAlignment="1">
      <alignment horizontal="left" wrapText="1"/>
    </xf>
    <xf numFmtId="0" fontId="9" fillId="4" borderId="17" xfId="0" applyNumberFormat="1" applyFont="1" applyFill="1" applyBorder="1" applyAlignment="1">
      <alignment horizontal="left" wrapText="1"/>
    </xf>
    <xf numFmtId="0" fontId="9" fillId="4" borderId="18" xfId="0" applyNumberFormat="1" applyFont="1" applyFill="1" applyBorder="1" applyAlignment="1">
      <alignment horizontal="left" wrapText="1"/>
    </xf>
    <xf numFmtId="0" fontId="9" fillId="4" borderId="21" xfId="0" applyNumberFormat="1" applyFont="1" applyFill="1" applyBorder="1" applyAlignment="1">
      <alignment horizontal="left" wrapText="1"/>
    </xf>
    <xf numFmtId="0" fontId="9" fillId="4" borderId="22" xfId="0" applyNumberFormat="1" applyFont="1" applyFill="1" applyBorder="1" applyAlignment="1">
      <alignment horizontal="left" wrapText="1"/>
    </xf>
    <xf numFmtId="0" fontId="9" fillId="4" borderId="23" xfId="0" applyNumberFormat="1" applyFont="1" applyFill="1" applyBorder="1" applyAlignment="1">
      <alignment horizontal="left" wrapText="1"/>
    </xf>
    <xf numFmtId="0" fontId="9" fillId="4" borderId="16" xfId="0" applyNumberFormat="1" applyFont="1" applyFill="1" applyBorder="1" applyAlignment="1">
      <alignment horizontal="left" vertical="center" wrapText="1"/>
    </xf>
    <xf numFmtId="0" fontId="9" fillId="4" borderId="17" xfId="0" applyNumberFormat="1" applyFont="1" applyFill="1" applyBorder="1" applyAlignment="1">
      <alignment horizontal="left" vertical="center" wrapText="1"/>
    </xf>
    <xf numFmtId="0" fontId="9" fillId="4" borderId="18" xfId="0" applyNumberFormat="1" applyFont="1" applyFill="1" applyBorder="1" applyAlignment="1">
      <alignment horizontal="left" vertical="center" wrapText="1"/>
    </xf>
    <xf numFmtId="0" fontId="9" fillId="4" borderId="21" xfId="0" applyNumberFormat="1" applyFont="1" applyFill="1" applyBorder="1" applyAlignment="1">
      <alignment horizontal="left" vertical="center" wrapText="1"/>
    </xf>
    <xf numFmtId="0" fontId="9" fillId="4" borderId="22" xfId="0" applyNumberFormat="1" applyFont="1" applyFill="1" applyBorder="1" applyAlignment="1">
      <alignment horizontal="left" vertical="center" wrapText="1"/>
    </xf>
    <xf numFmtId="0" fontId="9" fillId="4" borderId="23" xfId="0" applyNumberFormat="1" applyFont="1" applyFill="1" applyBorder="1" applyAlignment="1">
      <alignment horizontal="left" vertical="center" wrapText="1"/>
    </xf>
    <xf numFmtId="0" fontId="10" fillId="6" borderId="0" xfId="0" applyNumberFormat="1" applyFont="1" applyFill="1" applyBorder="1"/>
    <xf numFmtId="0" fontId="10" fillId="6" borderId="8" xfId="0" applyNumberFormat="1" applyFont="1" applyFill="1" applyBorder="1"/>
    <xf numFmtId="0" fontId="10" fillId="6" borderId="10" xfId="0" applyNumberFormat="1" applyFont="1" applyFill="1" applyBorder="1"/>
    <xf numFmtId="0" fontId="10" fillId="6" borderId="13" xfId="0" applyNumberFormat="1" applyFont="1" applyFill="1" applyBorder="1"/>
    <xf numFmtId="0" fontId="10" fillId="6" borderId="15" xfId="0" applyNumberFormat="1" applyFont="1" applyFill="1" applyBorder="1"/>
    <xf numFmtId="0" fontId="10" fillId="6" borderId="8" xfId="0" applyNumberFormat="1" applyFont="1" applyFill="1" applyBorder="1" applyAlignment="1">
      <alignment wrapText="1"/>
    </xf>
    <xf numFmtId="0" fontId="10" fillId="6" borderId="10" xfId="0" applyNumberFormat="1" applyFont="1" applyFill="1" applyBorder="1" applyAlignment="1">
      <alignment wrapText="1"/>
    </xf>
    <xf numFmtId="0" fontId="10" fillId="6" borderId="13" xfId="0" applyNumberFormat="1" applyFont="1" applyFill="1" applyBorder="1" applyAlignment="1">
      <alignment wrapText="1"/>
    </xf>
    <xf numFmtId="0" fontId="10" fillId="6" borderId="15" xfId="0" applyNumberFormat="1" applyFont="1" applyFill="1" applyBorder="1" applyAlignment="1">
      <alignment wrapText="1"/>
    </xf>
    <xf numFmtId="0" fontId="10" fillId="6" borderId="8" xfId="0" applyNumberFormat="1" applyFont="1" applyFill="1" applyBorder="1" applyAlignment="1">
      <alignment horizontal="center" wrapText="1"/>
    </xf>
    <xf numFmtId="0" fontId="10" fillId="6" borderId="10" xfId="0" applyNumberFormat="1" applyFont="1" applyFill="1" applyBorder="1" applyAlignment="1">
      <alignment horizontal="center" wrapText="1"/>
    </xf>
    <xf numFmtId="0" fontId="10" fillId="6" borderId="13" xfId="0" applyNumberFormat="1" applyFont="1" applyFill="1" applyBorder="1" applyAlignment="1">
      <alignment horizontal="center" wrapText="1"/>
    </xf>
    <xf numFmtId="0" fontId="10" fillId="6" borderId="15" xfId="0" applyNumberFormat="1" applyFont="1" applyFill="1" applyBorder="1" applyAlignment="1">
      <alignment horizontal="center" wrapText="1"/>
    </xf>
    <xf numFmtId="0" fontId="10" fillId="6" borderId="8" xfId="0" applyNumberFormat="1" applyFont="1" applyFill="1" applyBorder="1" applyAlignment="1">
      <alignment horizontal="center" vertical="center" wrapText="1"/>
    </xf>
    <xf numFmtId="0" fontId="10" fillId="6" borderId="10" xfId="0" applyNumberFormat="1" applyFont="1" applyFill="1" applyBorder="1" applyAlignment="1">
      <alignment horizontal="center" vertical="center" wrapText="1"/>
    </xf>
    <xf numFmtId="0" fontId="10" fillId="6" borderId="13" xfId="0" applyNumberFormat="1" applyFont="1" applyFill="1" applyBorder="1" applyAlignment="1">
      <alignment horizontal="center" vertical="center" wrapText="1"/>
    </xf>
    <xf numFmtId="0" fontId="10" fillId="6" borderId="15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/>
    <xf numFmtId="0" fontId="10" fillId="6" borderId="16" xfId="0" applyNumberFormat="1" applyFont="1" applyFill="1" applyBorder="1"/>
    <xf numFmtId="0" fontId="10" fillId="6" borderId="18" xfId="0" applyNumberFormat="1" applyFont="1" applyFill="1" applyBorder="1"/>
    <xf numFmtId="0" fontId="10" fillId="6" borderId="21" xfId="0" applyNumberFormat="1" applyFont="1" applyFill="1" applyBorder="1"/>
    <xf numFmtId="0" fontId="10" fillId="6" borderId="23" xfId="0" applyNumberFormat="1" applyFont="1" applyFill="1" applyBorder="1"/>
    <xf numFmtId="0" fontId="10" fillId="6" borderId="16" xfId="0" applyNumberFormat="1" applyFont="1" applyFill="1" applyBorder="1" applyAlignment="1">
      <alignment wrapText="1"/>
    </xf>
    <xf numFmtId="0" fontId="10" fillId="6" borderId="18" xfId="0" applyNumberFormat="1" applyFont="1" applyFill="1" applyBorder="1" applyAlignment="1">
      <alignment wrapText="1"/>
    </xf>
    <xf numFmtId="0" fontId="10" fillId="6" borderId="21" xfId="0" applyNumberFormat="1" applyFont="1" applyFill="1" applyBorder="1" applyAlignment="1">
      <alignment wrapText="1"/>
    </xf>
    <xf numFmtId="0" fontId="10" fillId="6" borderId="23" xfId="0" applyNumberFormat="1" applyFont="1" applyFill="1" applyBorder="1" applyAlignment="1">
      <alignment wrapText="1"/>
    </xf>
    <xf numFmtId="0" fontId="10" fillId="6" borderId="16" xfId="0" applyNumberFormat="1" applyFont="1" applyFill="1" applyBorder="1" applyAlignment="1">
      <alignment horizontal="center" wrapText="1"/>
    </xf>
    <xf numFmtId="0" fontId="10" fillId="6" borderId="18" xfId="0" applyNumberFormat="1" applyFont="1" applyFill="1" applyBorder="1" applyAlignment="1">
      <alignment horizontal="center" wrapText="1"/>
    </xf>
    <xf numFmtId="0" fontId="10" fillId="6" borderId="21" xfId="0" applyNumberFormat="1" applyFont="1" applyFill="1" applyBorder="1" applyAlignment="1">
      <alignment horizontal="center" wrapText="1"/>
    </xf>
    <xf numFmtId="0" fontId="10" fillId="6" borderId="23" xfId="0" applyNumberFormat="1" applyFont="1" applyFill="1" applyBorder="1" applyAlignment="1">
      <alignment horizontal="center" wrapText="1"/>
    </xf>
    <xf numFmtId="0" fontId="10" fillId="6" borderId="16" xfId="0" applyNumberFormat="1" applyFont="1" applyFill="1" applyBorder="1" applyAlignment="1">
      <alignment horizontal="center" vertical="center" wrapText="1"/>
    </xf>
    <xf numFmtId="0" fontId="10" fillId="6" borderId="18" xfId="0" applyNumberFormat="1" applyFont="1" applyFill="1" applyBorder="1" applyAlignment="1">
      <alignment horizontal="center" vertical="center" wrapText="1"/>
    </xf>
    <xf numFmtId="0" fontId="10" fillId="6" borderId="21" xfId="0" applyNumberFormat="1" applyFont="1" applyFill="1" applyBorder="1" applyAlignment="1">
      <alignment horizontal="center" vertical="center" wrapText="1"/>
    </xf>
    <xf numFmtId="0" fontId="10" fillId="6" borderId="23" xfId="0" applyNumberFormat="1" applyFont="1" applyFill="1" applyBorder="1" applyAlignment="1">
      <alignment horizontal="center" vertical="center" wrapText="1"/>
    </xf>
    <xf numFmtId="0" fontId="11" fillId="5" borderId="0" xfId="0" applyNumberFormat="1" applyFont="1" applyFill="1" applyBorder="1"/>
    <xf numFmtId="0" fontId="11" fillId="5" borderId="2" xfId="0" applyNumberFormat="1" applyFont="1" applyFill="1" applyBorder="1"/>
    <xf numFmtId="0" fontId="11" fillId="5" borderId="4" xfId="0" applyNumberFormat="1" applyFont="1" applyFill="1" applyBorder="1"/>
    <xf numFmtId="0" fontId="11" fillId="5" borderId="2" xfId="0" applyNumberFormat="1" applyFont="1" applyFill="1" applyBorder="1" applyAlignment="1">
      <alignment horizontal="center"/>
    </xf>
    <xf numFmtId="0" fontId="11" fillId="5" borderId="4" xfId="0" applyNumberFormat="1" applyFont="1" applyFill="1" applyBorder="1" applyAlignment="1">
      <alignment horizontal="center"/>
    </xf>
    <xf numFmtId="0" fontId="11" fillId="5" borderId="1" xfId="0" applyNumberFormat="1" applyFont="1" applyFill="1" applyBorder="1"/>
    <xf numFmtId="0" fontId="11" fillId="5" borderId="5" xfId="0" applyNumberFormat="1" applyFont="1" applyFill="1" applyBorder="1"/>
    <xf numFmtId="0" fontId="11" fillId="5" borderId="7" xfId="0" applyNumberFormat="1" applyFont="1" applyFill="1" applyBorder="1"/>
    <xf numFmtId="0" fontId="11" fillId="5" borderId="5" xfId="0" applyNumberFormat="1" applyFont="1" applyFill="1" applyBorder="1" applyAlignment="1">
      <alignment horizontal="center"/>
    </xf>
    <xf numFmtId="0" fontId="11" fillId="5" borderId="7" xfId="0" applyNumberFormat="1" applyFont="1" applyFill="1" applyBorder="1" applyAlignment="1">
      <alignment horizontal="center"/>
    </xf>
    <xf numFmtId="0" fontId="12" fillId="4" borderId="0" xfId="0" applyNumberFormat="1" applyFont="1" applyFill="1" applyBorder="1"/>
    <xf numFmtId="0" fontId="12" fillId="4" borderId="2" xfId="0" applyNumberFormat="1" applyFont="1" applyFill="1" applyBorder="1"/>
    <xf numFmtId="0" fontId="12" fillId="4" borderId="3" xfId="0" applyNumberFormat="1" applyFont="1" applyFill="1" applyBorder="1"/>
    <xf numFmtId="0" fontId="12" fillId="4" borderId="4" xfId="0" applyNumberFormat="1" applyFont="1" applyFill="1" applyBorder="1"/>
    <xf numFmtId="0" fontId="12" fillId="4" borderId="2" xfId="0" applyNumberFormat="1" applyFont="1" applyFill="1" applyBorder="1" applyAlignment="1">
      <alignment vertical="center"/>
    </xf>
    <xf numFmtId="0" fontId="12" fillId="4" borderId="3" xfId="0" applyNumberFormat="1" applyFont="1" applyFill="1" applyBorder="1" applyAlignment="1">
      <alignment vertical="center"/>
    </xf>
    <xf numFmtId="0" fontId="12" fillId="4" borderId="4" xfId="0" applyNumberFormat="1" applyFont="1" applyFill="1" applyBorder="1" applyAlignment="1">
      <alignment vertical="center"/>
    </xf>
    <xf numFmtId="0" fontId="12" fillId="4" borderId="1" xfId="0" applyNumberFormat="1" applyFont="1" applyFill="1" applyBorder="1"/>
    <xf numFmtId="0" fontId="12" fillId="4" borderId="5" xfId="0" applyNumberFormat="1" applyFont="1" applyFill="1" applyBorder="1"/>
    <xf numFmtId="0" fontId="12" fillId="4" borderId="6" xfId="0" applyNumberFormat="1" applyFont="1" applyFill="1" applyBorder="1"/>
    <xf numFmtId="0" fontId="12" fillId="4" borderId="7" xfId="0" applyNumberFormat="1" applyFont="1" applyFill="1" applyBorder="1"/>
    <xf numFmtId="0" fontId="12" fillId="4" borderId="5" xfId="0" applyNumberFormat="1" applyFont="1" applyFill="1" applyBorder="1" applyAlignment="1">
      <alignment vertical="center"/>
    </xf>
    <xf numFmtId="0" fontId="12" fillId="4" borderId="6" xfId="0" applyNumberFormat="1" applyFont="1" applyFill="1" applyBorder="1" applyAlignment="1">
      <alignment vertical="center"/>
    </xf>
    <xf numFmtId="0" fontId="12" fillId="4" borderId="7" xfId="0" applyNumberFormat="1" applyFont="1" applyFill="1" applyBorder="1" applyAlignment="1">
      <alignment vertical="center"/>
    </xf>
    <xf numFmtId="0" fontId="11" fillId="6" borderId="0" xfId="0" applyNumberFormat="1" applyFont="1" applyFill="1" applyBorder="1"/>
    <xf numFmtId="0" fontId="11" fillId="6" borderId="24" xfId="0" applyNumberFormat="1" applyFont="1" applyFill="1" applyBorder="1"/>
    <xf numFmtId="0" fontId="11" fillId="6" borderId="24" xfId="0" applyNumberFormat="1" applyFont="1" applyFill="1" applyBorder="1" applyAlignment="1">
      <alignment horizontal="center"/>
    </xf>
    <xf numFmtId="0" fontId="11" fillId="6" borderId="1" xfId="0" applyNumberFormat="1" applyFont="1" applyFill="1" applyBorder="1"/>
    <xf numFmtId="0" fontId="11" fillId="6" borderId="25" xfId="0" applyNumberFormat="1" applyFont="1" applyFill="1" applyBorder="1"/>
    <xf numFmtId="0" fontId="11" fillId="6" borderId="25" xfId="0" applyNumberFormat="1" applyFont="1" applyFill="1" applyBorder="1" applyAlignment="1">
      <alignment horizontal="center"/>
    </xf>
    <xf numFmtId="0" fontId="8" fillId="5" borderId="0" xfId="0" applyNumberFormat="1" applyFont="1" applyFill="1" applyBorder="1"/>
    <xf numFmtId="0" fontId="8" fillId="5" borderId="8" xfId="0" applyNumberFormat="1" applyFont="1" applyFill="1" applyBorder="1"/>
    <xf numFmtId="0" fontId="8" fillId="5" borderId="9" xfId="0" applyNumberFormat="1" applyFont="1" applyFill="1" applyBorder="1"/>
    <xf numFmtId="0" fontId="8" fillId="5" borderId="10" xfId="0" applyNumberFormat="1" applyFont="1" applyFill="1" applyBorder="1"/>
    <xf numFmtId="0" fontId="8" fillId="5" borderId="11" xfId="0" applyNumberFormat="1" applyFont="1" applyFill="1" applyBorder="1"/>
    <xf numFmtId="0" fontId="8" fillId="5" borderId="12" xfId="0" applyNumberFormat="1" applyFont="1" applyFill="1" applyBorder="1"/>
    <xf numFmtId="0" fontId="8" fillId="5" borderId="13" xfId="0" applyNumberFormat="1" applyFont="1" applyFill="1" applyBorder="1"/>
    <xf numFmtId="0" fontId="8" fillId="5" borderId="14" xfId="0" applyNumberFormat="1" applyFont="1" applyFill="1" applyBorder="1"/>
    <xf numFmtId="0" fontId="8" fillId="5" borderId="15" xfId="0" applyNumberFormat="1" applyFont="1" applyFill="1" applyBorder="1"/>
    <xf numFmtId="0" fontId="8" fillId="5" borderId="8" xfId="0" applyNumberFormat="1" applyFont="1" applyFill="1" applyBorder="1" applyAlignment="1">
      <alignment wrapText="1"/>
    </xf>
    <xf numFmtId="0" fontId="8" fillId="5" borderId="9" xfId="0" applyNumberFormat="1" applyFont="1" applyFill="1" applyBorder="1" applyAlignment="1">
      <alignment wrapText="1"/>
    </xf>
    <xf numFmtId="0" fontId="8" fillId="5" borderId="10" xfId="0" applyNumberFormat="1" applyFont="1" applyFill="1" applyBorder="1" applyAlignment="1">
      <alignment wrapText="1"/>
    </xf>
    <xf numFmtId="0" fontId="8" fillId="5" borderId="11" xfId="0" applyNumberFormat="1" applyFont="1" applyFill="1" applyBorder="1" applyAlignment="1">
      <alignment wrapText="1"/>
    </xf>
    <xf numFmtId="0" fontId="8" fillId="5" borderId="0" xfId="0" applyNumberFormat="1" applyFont="1" applyFill="1" applyBorder="1" applyAlignment="1">
      <alignment wrapText="1"/>
    </xf>
    <xf numFmtId="0" fontId="8" fillId="5" borderId="12" xfId="0" applyNumberFormat="1" applyFont="1" applyFill="1" applyBorder="1" applyAlignment="1">
      <alignment wrapText="1"/>
    </xf>
    <xf numFmtId="0" fontId="8" fillId="5" borderId="13" xfId="0" applyNumberFormat="1" applyFont="1" applyFill="1" applyBorder="1" applyAlignment="1">
      <alignment wrapText="1"/>
    </xf>
    <xf numFmtId="0" fontId="8" fillId="5" borderId="14" xfId="0" applyNumberFormat="1" applyFont="1" applyFill="1" applyBorder="1" applyAlignment="1">
      <alignment wrapText="1"/>
    </xf>
    <xf numFmtId="0" fontId="8" fillId="5" borderId="15" xfId="0" applyNumberFormat="1" applyFont="1" applyFill="1" applyBorder="1" applyAlignment="1">
      <alignment wrapText="1"/>
    </xf>
    <xf numFmtId="0" fontId="8" fillId="5" borderId="8" xfId="0" applyNumberFormat="1" applyFont="1" applyFill="1" applyBorder="1" applyAlignment="1">
      <alignment horizontal="center" wrapText="1"/>
    </xf>
    <xf numFmtId="0" fontId="8" fillId="5" borderId="9" xfId="0" applyNumberFormat="1" applyFont="1" applyFill="1" applyBorder="1" applyAlignment="1">
      <alignment horizontal="center" wrapText="1"/>
    </xf>
    <xf numFmtId="0" fontId="8" fillId="5" borderId="10" xfId="0" applyNumberFormat="1" applyFont="1" applyFill="1" applyBorder="1" applyAlignment="1">
      <alignment horizontal="center" wrapText="1"/>
    </xf>
    <xf numFmtId="0" fontId="8" fillId="5" borderId="11" xfId="0" applyNumberFormat="1" applyFont="1" applyFill="1" applyBorder="1" applyAlignment="1">
      <alignment horizontal="center" wrapText="1"/>
    </xf>
    <xf numFmtId="0" fontId="8" fillId="5" borderId="0" xfId="0" applyNumberFormat="1" applyFont="1" applyFill="1" applyBorder="1" applyAlignment="1">
      <alignment horizontal="center" wrapText="1"/>
    </xf>
    <xf numFmtId="0" fontId="8" fillId="5" borderId="12" xfId="0" applyNumberFormat="1" applyFont="1" applyFill="1" applyBorder="1" applyAlignment="1">
      <alignment horizontal="center" wrapText="1"/>
    </xf>
    <xf numFmtId="0" fontId="8" fillId="5" borderId="13" xfId="0" applyNumberFormat="1" applyFont="1" applyFill="1" applyBorder="1" applyAlignment="1">
      <alignment horizontal="center" wrapText="1"/>
    </xf>
    <xf numFmtId="0" fontId="8" fillId="5" borderId="14" xfId="0" applyNumberFormat="1" applyFont="1" applyFill="1" applyBorder="1" applyAlignment="1">
      <alignment horizontal="center" wrapText="1"/>
    </xf>
    <xf numFmtId="0" fontId="8" fillId="5" borderId="15" xfId="0" applyNumberFormat="1" applyFont="1" applyFill="1" applyBorder="1" applyAlignment="1">
      <alignment horizontal="center" wrapText="1"/>
    </xf>
    <xf numFmtId="0" fontId="8" fillId="5" borderId="8" xfId="0" applyNumberFormat="1" applyFont="1" applyFill="1" applyBorder="1" applyAlignment="1">
      <alignment horizontal="center" vertical="center" wrapText="1"/>
    </xf>
    <xf numFmtId="0" fontId="8" fillId="5" borderId="9" xfId="0" applyNumberFormat="1" applyFont="1" applyFill="1" applyBorder="1" applyAlignment="1">
      <alignment horizontal="center" vertical="center" wrapText="1"/>
    </xf>
    <xf numFmtId="0" fontId="8" fillId="5" borderId="10" xfId="0" applyNumberFormat="1" applyFont="1" applyFill="1" applyBorder="1" applyAlignment="1">
      <alignment horizontal="center" vertical="center" wrapText="1"/>
    </xf>
    <xf numFmtId="0" fontId="8" fillId="5" borderId="11" xfId="0" applyNumberFormat="1" applyFont="1" applyFill="1" applyBorder="1" applyAlignment="1">
      <alignment horizontal="center" vertical="center" wrapText="1"/>
    </xf>
    <xf numFmtId="0" fontId="8" fillId="5" borderId="0" xfId="0" applyNumberFormat="1" applyFont="1" applyFill="1" applyBorder="1" applyAlignment="1">
      <alignment horizontal="center" vertical="center" wrapText="1"/>
    </xf>
    <xf numFmtId="0" fontId="8" fillId="5" borderId="12" xfId="0" applyNumberFormat="1" applyFont="1" applyFill="1" applyBorder="1" applyAlignment="1">
      <alignment horizontal="center" vertical="center" wrapText="1"/>
    </xf>
    <xf numFmtId="0" fontId="8" fillId="5" borderId="13" xfId="0" applyNumberFormat="1" applyFont="1" applyFill="1" applyBorder="1" applyAlignment="1">
      <alignment horizontal="center" vertical="center" wrapText="1"/>
    </xf>
    <xf numFmtId="0" fontId="8" fillId="5" borderId="14" xfId="0" applyNumberFormat="1" applyFont="1" applyFill="1" applyBorder="1" applyAlignment="1">
      <alignment horizontal="center" vertical="center" wrapText="1"/>
    </xf>
    <xf numFmtId="0" fontId="8" fillId="5" borderId="15" xfId="0" applyNumberFormat="1" applyFont="1" applyFill="1" applyBorder="1" applyAlignment="1">
      <alignment horizontal="center" vertical="center" wrapText="1"/>
    </xf>
    <xf numFmtId="0" fontId="8" fillId="5" borderId="1" xfId="0" applyNumberFormat="1" applyFont="1" applyFill="1" applyBorder="1"/>
    <xf numFmtId="0" fontId="8" fillId="5" borderId="16" xfId="0" applyNumberFormat="1" applyFont="1" applyFill="1" applyBorder="1"/>
    <xf numFmtId="0" fontId="8" fillId="5" borderId="17" xfId="0" applyNumberFormat="1" applyFont="1" applyFill="1" applyBorder="1"/>
    <xf numFmtId="0" fontId="8" fillId="5" borderId="18" xfId="0" applyNumberFormat="1" applyFont="1" applyFill="1" applyBorder="1"/>
    <xf numFmtId="0" fontId="8" fillId="5" borderId="19" xfId="0" applyNumberFormat="1" applyFont="1" applyFill="1" applyBorder="1"/>
    <xf numFmtId="0" fontId="8" fillId="5" borderId="20" xfId="0" applyNumberFormat="1" applyFont="1" applyFill="1" applyBorder="1"/>
    <xf numFmtId="0" fontId="8" fillId="5" borderId="21" xfId="0" applyNumberFormat="1" applyFont="1" applyFill="1" applyBorder="1"/>
    <xf numFmtId="0" fontId="8" fillId="5" borderId="22" xfId="0" applyNumberFormat="1" applyFont="1" applyFill="1" applyBorder="1"/>
    <xf numFmtId="0" fontId="8" fillId="5" borderId="23" xfId="0" applyNumberFormat="1" applyFont="1" applyFill="1" applyBorder="1"/>
    <xf numFmtId="0" fontId="8" fillId="5" borderId="16" xfId="0" applyNumberFormat="1" applyFont="1" applyFill="1" applyBorder="1" applyAlignment="1">
      <alignment wrapText="1"/>
    </xf>
    <xf numFmtId="0" fontId="8" fillId="5" borderId="17" xfId="0" applyNumberFormat="1" applyFont="1" applyFill="1" applyBorder="1" applyAlignment="1">
      <alignment wrapText="1"/>
    </xf>
    <xf numFmtId="0" fontId="8" fillId="5" borderId="18" xfId="0" applyNumberFormat="1" applyFont="1" applyFill="1" applyBorder="1" applyAlignment="1">
      <alignment wrapText="1"/>
    </xf>
    <xf numFmtId="0" fontId="8" fillId="5" borderId="19" xfId="0" applyNumberFormat="1" applyFont="1" applyFill="1" applyBorder="1" applyAlignment="1">
      <alignment wrapText="1"/>
    </xf>
    <xf numFmtId="0" fontId="8" fillId="5" borderId="1" xfId="0" applyNumberFormat="1" applyFont="1" applyFill="1" applyBorder="1" applyAlignment="1">
      <alignment wrapText="1"/>
    </xf>
    <xf numFmtId="0" fontId="8" fillId="5" borderId="20" xfId="0" applyNumberFormat="1" applyFont="1" applyFill="1" applyBorder="1" applyAlignment="1">
      <alignment wrapText="1"/>
    </xf>
    <xf numFmtId="0" fontId="8" fillId="5" borderId="21" xfId="0" applyNumberFormat="1" applyFont="1" applyFill="1" applyBorder="1" applyAlignment="1">
      <alignment wrapText="1"/>
    </xf>
    <xf numFmtId="0" fontId="8" fillId="5" borderId="22" xfId="0" applyNumberFormat="1" applyFont="1" applyFill="1" applyBorder="1" applyAlignment="1">
      <alignment wrapText="1"/>
    </xf>
    <xf numFmtId="0" fontId="8" fillId="5" borderId="23" xfId="0" applyNumberFormat="1" applyFont="1" applyFill="1" applyBorder="1" applyAlignment="1">
      <alignment wrapText="1"/>
    </xf>
    <xf numFmtId="0" fontId="8" fillId="5" borderId="16" xfId="0" applyNumberFormat="1" applyFont="1" applyFill="1" applyBorder="1" applyAlignment="1">
      <alignment horizontal="center" wrapText="1"/>
    </xf>
    <xf numFmtId="0" fontId="8" fillId="5" borderId="17" xfId="0" applyNumberFormat="1" applyFont="1" applyFill="1" applyBorder="1" applyAlignment="1">
      <alignment horizontal="center" wrapText="1"/>
    </xf>
    <xf numFmtId="0" fontId="8" fillId="5" borderId="18" xfId="0" applyNumberFormat="1" applyFont="1" applyFill="1" applyBorder="1" applyAlignment="1">
      <alignment horizontal="center" wrapText="1"/>
    </xf>
    <xf numFmtId="0" fontId="8" fillId="5" borderId="19" xfId="0" applyNumberFormat="1" applyFont="1" applyFill="1" applyBorder="1" applyAlignment="1">
      <alignment horizontal="center" wrapText="1"/>
    </xf>
    <xf numFmtId="0" fontId="8" fillId="5" borderId="1" xfId="0" applyNumberFormat="1" applyFont="1" applyFill="1" applyBorder="1" applyAlignment="1">
      <alignment horizontal="center" wrapText="1"/>
    </xf>
    <xf numFmtId="0" fontId="8" fillId="5" borderId="20" xfId="0" applyNumberFormat="1" applyFont="1" applyFill="1" applyBorder="1" applyAlignment="1">
      <alignment horizontal="center" wrapText="1"/>
    </xf>
    <xf numFmtId="0" fontId="8" fillId="5" borderId="21" xfId="0" applyNumberFormat="1" applyFont="1" applyFill="1" applyBorder="1" applyAlignment="1">
      <alignment horizontal="center" wrapText="1"/>
    </xf>
    <xf numFmtId="0" fontId="8" fillId="5" borderId="22" xfId="0" applyNumberFormat="1" applyFont="1" applyFill="1" applyBorder="1" applyAlignment="1">
      <alignment horizontal="center" wrapText="1"/>
    </xf>
    <xf numFmtId="0" fontId="8" fillId="5" borderId="23" xfId="0" applyNumberFormat="1" applyFont="1" applyFill="1" applyBorder="1" applyAlignment="1">
      <alignment horizontal="center" wrapText="1"/>
    </xf>
    <xf numFmtId="0" fontId="8" fillId="5" borderId="16" xfId="0" applyNumberFormat="1" applyFont="1" applyFill="1" applyBorder="1" applyAlignment="1">
      <alignment horizontal="center" vertical="center" wrapText="1"/>
    </xf>
    <xf numFmtId="0" fontId="8" fillId="5" borderId="17" xfId="0" applyNumberFormat="1" applyFont="1" applyFill="1" applyBorder="1" applyAlignment="1">
      <alignment horizontal="center" vertical="center" wrapText="1"/>
    </xf>
    <xf numFmtId="0" fontId="8" fillId="5" borderId="18" xfId="0" applyNumberFormat="1" applyFont="1" applyFill="1" applyBorder="1" applyAlignment="1">
      <alignment horizontal="center" vertical="center" wrapText="1"/>
    </xf>
    <xf numFmtId="0" fontId="8" fillId="5" borderId="19" xfId="0" applyNumberFormat="1" applyFont="1" applyFill="1" applyBorder="1" applyAlignment="1">
      <alignment horizontal="center" vertical="center" wrapText="1"/>
    </xf>
    <xf numFmtId="0" fontId="8" fillId="5" borderId="1" xfId="0" applyNumberFormat="1" applyFont="1" applyFill="1" applyBorder="1" applyAlignment="1">
      <alignment horizontal="center" vertical="center" wrapText="1"/>
    </xf>
    <xf numFmtId="0" fontId="8" fillId="5" borderId="20" xfId="0" applyNumberFormat="1" applyFont="1" applyFill="1" applyBorder="1" applyAlignment="1">
      <alignment horizontal="center" vertical="center" wrapText="1"/>
    </xf>
    <xf numFmtId="0" fontId="8" fillId="5" borderId="21" xfId="0" applyNumberFormat="1" applyFont="1" applyFill="1" applyBorder="1" applyAlignment="1">
      <alignment horizontal="center" vertical="center" wrapText="1"/>
    </xf>
    <xf numFmtId="0" fontId="8" fillId="5" borderId="22" xfId="0" applyNumberFormat="1" applyFont="1" applyFill="1" applyBorder="1" applyAlignment="1">
      <alignment horizontal="center" vertical="center" wrapText="1"/>
    </xf>
    <xf numFmtId="0" fontId="8" fillId="5" borderId="23" xfId="0" applyNumberFormat="1" applyFont="1" applyFill="1" applyBorder="1" applyAlignment="1">
      <alignment horizontal="center" vertical="center" wrapText="1"/>
    </xf>
    <xf numFmtId="0" fontId="13" fillId="5" borderId="0" xfId="0" applyNumberFormat="1" applyFont="1" applyFill="1" applyBorder="1"/>
    <xf numFmtId="0" fontId="13" fillId="5" borderId="8" xfId="0" applyNumberFormat="1" applyFont="1" applyFill="1" applyBorder="1"/>
    <xf numFmtId="0" fontId="13" fillId="5" borderId="9" xfId="0" applyNumberFormat="1" applyFont="1" applyFill="1" applyBorder="1"/>
    <xf numFmtId="0" fontId="13" fillId="5" borderId="10" xfId="0" applyNumberFormat="1" applyFont="1" applyFill="1" applyBorder="1"/>
    <xf numFmtId="0" fontId="13" fillId="5" borderId="11" xfId="0" applyNumberFormat="1" applyFont="1" applyFill="1" applyBorder="1"/>
    <xf numFmtId="0" fontId="13" fillId="5" borderId="12" xfId="0" applyNumberFormat="1" applyFont="1" applyFill="1" applyBorder="1"/>
    <xf numFmtId="0" fontId="13" fillId="5" borderId="13" xfId="0" applyNumberFormat="1" applyFont="1" applyFill="1" applyBorder="1"/>
    <xf numFmtId="0" fontId="13" fillId="5" borderId="14" xfId="0" applyNumberFormat="1" applyFont="1" applyFill="1" applyBorder="1"/>
    <xf numFmtId="0" fontId="13" fillId="5" borderId="15" xfId="0" applyNumberFormat="1" applyFont="1" applyFill="1" applyBorder="1"/>
    <xf numFmtId="0" fontId="13" fillId="5" borderId="8" xfId="0" applyNumberFormat="1" applyFont="1" applyFill="1" applyBorder="1" applyAlignment="1">
      <alignment wrapText="1"/>
    </xf>
    <xf numFmtId="0" fontId="13" fillId="5" borderId="9" xfId="0" applyNumberFormat="1" applyFont="1" applyFill="1" applyBorder="1" applyAlignment="1">
      <alignment wrapText="1"/>
    </xf>
    <xf numFmtId="0" fontId="13" fillId="5" borderId="10" xfId="0" applyNumberFormat="1" applyFont="1" applyFill="1" applyBorder="1" applyAlignment="1">
      <alignment wrapText="1"/>
    </xf>
    <xf numFmtId="0" fontId="13" fillId="5" borderId="11" xfId="0" applyNumberFormat="1" applyFont="1" applyFill="1" applyBorder="1" applyAlignment="1">
      <alignment wrapText="1"/>
    </xf>
    <xf numFmtId="0" fontId="13" fillId="5" borderId="0" xfId="0" applyNumberFormat="1" applyFont="1" applyFill="1" applyBorder="1" applyAlignment="1">
      <alignment wrapText="1"/>
    </xf>
    <xf numFmtId="0" fontId="13" fillId="5" borderId="12" xfId="0" applyNumberFormat="1" applyFont="1" applyFill="1" applyBorder="1" applyAlignment="1">
      <alignment wrapText="1"/>
    </xf>
    <xf numFmtId="0" fontId="13" fillId="5" borderId="13" xfId="0" applyNumberFormat="1" applyFont="1" applyFill="1" applyBorder="1" applyAlignment="1">
      <alignment wrapText="1"/>
    </xf>
    <xf numFmtId="0" fontId="13" fillId="5" borderId="14" xfId="0" applyNumberFormat="1" applyFont="1" applyFill="1" applyBorder="1" applyAlignment="1">
      <alignment wrapText="1"/>
    </xf>
    <xf numFmtId="0" fontId="13" fillId="5" borderId="15" xfId="0" applyNumberFormat="1" applyFont="1" applyFill="1" applyBorder="1" applyAlignment="1">
      <alignment wrapText="1"/>
    </xf>
    <xf numFmtId="0" fontId="13" fillId="5" borderId="8" xfId="0" applyNumberFormat="1" applyFont="1" applyFill="1" applyBorder="1" applyAlignment="1">
      <alignment horizontal="center" wrapText="1"/>
    </xf>
    <xf numFmtId="0" fontId="13" fillId="5" borderId="9" xfId="0" applyNumberFormat="1" applyFont="1" applyFill="1" applyBorder="1" applyAlignment="1">
      <alignment horizontal="center" wrapText="1"/>
    </xf>
    <xf numFmtId="0" fontId="13" fillId="5" borderId="10" xfId="0" applyNumberFormat="1" applyFont="1" applyFill="1" applyBorder="1" applyAlignment="1">
      <alignment horizontal="center" wrapText="1"/>
    </xf>
    <xf numFmtId="0" fontId="13" fillId="5" borderId="11" xfId="0" applyNumberFormat="1" applyFont="1" applyFill="1" applyBorder="1" applyAlignment="1">
      <alignment horizontal="center" wrapText="1"/>
    </xf>
    <xf numFmtId="0" fontId="13" fillId="5" borderId="0" xfId="0" applyNumberFormat="1" applyFont="1" applyFill="1" applyBorder="1" applyAlignment="1">
      <alignment horizontal="center" wrapText="1"/>
    </xf>
    <xf numFmtId="0" fontId="13" fillId="5" borderId="12" xfId="0" applyNumberFormat="1" applyFont="1" applyFill="1" applyBorder="1" applyAlignment="1">
      <alignment horizontal="center" wrapText="1"/>
    </xf>
    <xf numFmtId="0" fontId="13" fillId="5" borderId="13" xfId="0" applyNumberFormat="1" applyFont="1" applyFill="1" applyBorder="1" applyAlignment="1">
      <alignment horizontal="center" wrapText="1"/>
    </xf>
    <xf numFmtId="0" fontId="13" fillId="5" borderId="14" xfId="0" applyNumberFormat="1" applyFont="1" applyFill="1" applyBorder="1" applyAlignment="1">
      <alignment horizontal="center" wrapText="1"/>
    </xf>
    <xf numFmtId="0" fontId="13" fillId="5" borderId="15" xfId="0" applyNumberFormat="1" applyFont="1" applyFill="1" applyBorder="1" applyAlignment="1">
      <alignment horizontal="center" wrapText="1"/>
    </xf>
    <xf numFmtId="0" fontId="13" fillId="5" borderId="8" xfId="0" applyNumberFormat="1" applyFont="1" applyFill="1" applyBorder="1" applyAlignment="1">
      <alignment horizontal="center" vertical="center" wrapText="1"/>
    </xf>
    <xf numFmtId="0" fontId="13" fillId="5" borderId="9" xfId="0" applyNumberFormat="1" applyFont="1" applyFill="1" applyBorder="1" applyAlignment="1">
      <alignment horizontal="center" vertical="center" wrapText="1"/>
    </xf>
    <xf numFmtId="0" fontId="13" fillId="5" borderId="10" xfId="0" applyNumberFormat="1" applyFont="1" applyFill="1" applyBorder="1" applyAlignment="1">
      <alignment horizontal="center" vertical="center" wrapText="1"/>
    </xf>
    <xf numFmtId="0" fontId="13" fillId="5" borderId="11" xfId="0" applyNumberFormat="1" applyFont="1" applyFill="1" applyBorder="1" applyAlignment="1">
      <alignment horizontal="center" vertical="center" wrapText="1"/>
    </xf>
    <xf numFmtId="0" fontId="13" fillId="5" borderId="0" xfId="0" applyNumberFormat="1" applyFont="1" applyFill="1" applyBorder="1" applyAlignment="1">
      <alignment horizontal="center" vertical="center" wrapText="1"/>
    </xf>
    <xf numFmtId="0" fontId="13" fillId="5" borderId="12" xfId="0" applyNumberFormat="1" applyFont="1" applyFill="1" applyBorder="1" applyAlignment="1">
      <alignment horizontal="center" vertical="center" wrapText="1"/>
    </xf>
    <xf numFmtId="0" fontId="13" fillId="5" borderId="13" xfId="0" applyNumberFormat="1" applyFont="1" applyFill="1" applyBorder="1" applyAlignment="1">
      <alignment horizontal="center" vertical="center" wrapText="1"/>
    </xf>
    <xf numFmtId="0" fontId="13" fillId="5" borderId="14" xfId="0" applyNumberFormat="1" applyFont="1" applyFill="1" applyBorder="1" applyAlignment="1">
      <alignment horizontal="center" vertical="center" wrapText="1"/>
    </xf>
    <xf numFmtId="0" fontId="13" fillId="5" borderId="15" xfId="0" applyNumberFormat="1" applyFont="1" applyFill="1" applyBorder="1" applyAlignment="1">
      <alignment horizontal="center" vertical="center" wrapText="1"/>
    </xf>
    <xf numFmtId="0" fontId="13" fillId="5" borderId="1" xfId="0" applyNumberFormat="1" applyFont="1" applyFill="1" applyBorder="1"/>
    <xf numFmtId="0" fontId="13" fillId="5" borderId="16" xfId="0" applyNumberFormat="1" applyFont="1" applyFill="1" applyBorder="1"/>
    <xf numFmtId="0" fontId="13" fillId="5" borderId="17" xfId="0" applyNumberFormat="1" applyFont="1" applyFill="1" applyBorder="1"/>
    <xf numFmtId="0" fontId="13" fillId="5" borderId="18" xfId="0" applyNumberFormat="1" applyFont="1" applyFill="1" applyBorder="1"/>
    <xf numFmtId="0" fontId="13" fillId="5" borderId="19" xfId="0" applyNumberFormat="1" applyFont="1" applyFill="1" applyBorder="1"/>
    <xf numFmtId="0" fontId="13" fillId="5" borderId="20" xfId="0" applyNumberFormat="1" applyFont="1" applyFill="1" applyBorder="1"/>
    <xf numFmtId="0" fontId="13" fillId="5" borderId="21" xfId="0" applyNumberFormat="1" applyFont="1" applyFill="1" applyBorder="1"/>
    <xf numFmtId="0" fontId="13" fillId="5" borderId="22" xfId="0" applyNumberFormat="1" applyFont="1" applyFill="1" applyBorder="1"/>
    <xf numFmtId="0" fontId="13" fillId="5" borderId="23" xfId="0" applyNumberFormat="1" applyFont="1" applyFill="1" applyBorder="1"/>
    <xf numFmtId="0" fontId="13" fillId="5" borderId="16" xfId="0" applyNumberFormat="1" applyFont="1" applyFill="1" applyBorder="1" applyAlignment="1">
      <alignment wrapText="1"/>
    </xf>
    <xf numFmtId="0" fontId="13" fillId="5" borderId="17" xfId="0" applyNumberFormat="1" applyFont="1" applyFill="1" applyBorder="1" applyAlignment="1">
      <alignment wrapText="1"/>
    </xf>
    <xf numFmtId="0" fontId="13" fillId="5" borderId="18" xfId="0" applyNumberFormat="1" applyFont="1" applyFill="1" applyBorder="1" applyAlignment="1">
      <alignment wrapText="1"/>
    </xf>
    <xf numFmtId="0" fontId="13" fillId="5" borderId="19" xfId="0" applyNumberFormat="1" applyFont="1" applyFill="1" applyBorder="1" applyAlignment="1">
      <alignment wrapText="1"/>
    </xf>
    <xf numFmtId="0" fontId="13" fillId="5" borderId="1" xfId="0" applyNumberFormat="1" applyFont="1" applyFill="1" applyBorder="1" applyAlignment="1">
      <alignment wrapText="1"/>
    </xf>
    <xf numFmtId="0" fontId="13" fillId="5" borderId="20" xfId="0" applyNumberFormat="1" applyFont="1" applyFill="1" applyBorder="1" applyAlignment="1">
      <alignment wrapText="1"/>
    </xf>
    <xf numFmtId="0" fontId="13" fillId="5" borderId="21" xfId="0" applyNumberFormat="1" applyFont="1" applyFill="1" applyBorder="1" applyAlignment="1">
      <alignment wrapText="1"/>
    </xf>
    <xf numFmtId="0" fontId="13" fillId="5" borderId="22" xfId="0" applyNumberFormat="1" applyFont="1" applyFill="1" applyBorder="1" applyAlignment="1">
      <alignment wrapText="1"/>
    </xf>
    <xf numFmtId="0" fontId="13" fillId="5" borderId="23" xfId="0" applyNumberFormat="1" applyFont="1" applyFill="1" applyBorder="1" applyAlignment="1">
      <alignment wrapText="1"/>
    </xf>
    <xf numFmtId="0" fontId="13" fillId="5" borderId="16" xfId="0" applyNumberFormat="1" applyFont="1" applyFill="1" applyBorder="1" applyAlignment="1">
      <alignment horizontal="center" wrapText="1"/>
    </xf>
    <xf numFmtId="0" fontId="13" fillId="5" borderId="17" xfId="0" applyNumberFormat="1" applyFont="1" applyFill="1" applyBorder="1" applyAlignment="1">
      <alignment horizontal="center" wrapText="1"/>
    </xf>
    <xf numFmtId="0" fontId="13" fillId="5" borderId="18" xfId="0" applyNumberFormat="1" applyFont="1" applyFill="1" applyBorder="1" applyAlignment="1">
      <alignment horizontal="center" wrapText="1"/>
    </xf>
    <xf numFmtId="0" fontId="13" fillId="5" borderId="19" xfId="0" applyNumberFormat="1" applyFont="1" applyFill="1" applyBorder="1" applyAlignment="1">
      <alignment horizontal="center" wrapText="1"/>
    </xf>
    <xf numFmtId="0" fontId="13" fillId="5" borderId="1" xfId="0" applyNumberFormat="1" applyFont="1" applyFill="1" applyBorder="1" applyAlignment="1">
      <alignment horizontal="center" wrapText="1"/>
    </xf>
    <xf numFmtId="0" fontId="13" fillId="5" borderId="20" xfId="0" applyNumberFormat="1" applyFont="1" applyFill="1" applyBorder="1" applyAlignment="1">
      <alignment horizontal="center" wrapText="1"/>
    </xf>
    <xf numFmtId="0" fontId="13" fillId="5" borderId="21" xfId="0" applyNumberFormat="1" applyFont="1" applyFill="1" applyBorder="1" applyAlignment="1">
      <alignment horizontal="center" wrapText="1"/>
    </xf>
    <xf numFmtId="0" fontId="13" fillId="5" borderId="22" xfId="0" applyNumberFormat="1" applyFont="1" applyFill="1" applyBorder="1" applyAlignment="1">
      <alignment horizontal="center" wrapText="1"/>
    </xf>
    <xf numFmtId="0" fontId="13" fillId="5" borderId="23" xfId="0" applyNumberFormat="1" applyFont="1" applyFill="1" applyBorder="1" applyAlignment="1">
      <alignment horizontal="center" wrapText="1"/>
    </xf>
    <xf numFmtId="0" fontId="13" fillId="5" borderId="16" xfId="0" applyNumberFormat="1" applyFont="1" applyFill="1" applyBorder="1" applyAlignment="1">
      <alignment horizontal="center" vertical="center" wrapText="1"/>
    </xf>
    <xf numFmtId="0" fontId="13" fillId="5" borderId="17" xfId="0" applyNumberFormat="1" applyFont="1" applyFill="1" applyBorder="1" applyAlignment="1">
      <alignment horizontal="center" vertical="center" wrapText="1"/>
    </xf>
    <xf numFmtId="0" fontId="13" fillId="5" borderId="18" xfId="0" applyNumberFormat="1" applyFont="1" applyFill="1" applyBorder="1" applyAlignment="1">
      <alignment horizontal="center" vertical="center" wrapText="1"/>
    </xf>
    <xf numFmtId="0" fontId="13" fillId="5" borderId="19" xfId="0" applyNumberFormat="1" applyFont="1" applyFill="1" applyBorder="1" applyAlignment="1">
      <alignment horizontal="center" vertical="center" wrapText="1"/>
    </xf>
    <xf numFmtId="0" fontId="13" fillId="5" borderId="1" xfId="0" applyNumberFormat="1" applyFont="1" applyFill="1" applyBorder="1" applyAlignment="1">
      <alignment horizontal="center" vertical="center" wrapText="1"/>
    </xf>
    <xf numFmtId="0" fontId="13" fillId="5" borderId="20" xfId="0" applyNumberFormat="1" applyFont="1" applyFill="1" applyBorder="1" applyAlignment="1">
      <alignment horizontal="center" vertical="center" wrapText="1"/>
    </xf>
    <xf numFmtId="0" fontId="13" fillId="5" borderId="21" xfId="0" applyNumberFormat="1" applyFont="1" applyFill="1" applyBorder="1" applyAlignment="1">
      <alignment horizontal="center" vertical="center" wrapText="1"/>
    </xf>
    <xf numFmtId="0" fontId="13" fillId="5" borderId="22" xfId="0" applyNumberFormat="1" applyFont="1" applyFill="1" applyBorder="1" applyAlignment="1">
      <alignment horizontal="center" vertical="center" wrapText="1"/>
    </xf>
    <xf numFmtId="0" fontId="13" fillId="5" borderId="23" xfId="0" applyNumberFormat="1" applyFont="1" applyFill="1" applyBorder="1" applyAlignment="1">
      <alignment horizontal="center" vertical="center" wrapText="1"/>
    </xf>
    <xf numFmtId="0" fontId="14" fillId="5" borderId="0" xfId="0" applyNumberFormat="1" applyFont="1" applyFill="1" applyBorder="1"/>
    <xf numFmtId="0" fontId="14" fillId="5" borderId="8" xfId="0" applyNumberFormat="1" applyFont="1" applyFill="1" applyBorder="1"/>
    <xf numFmtId="0" fontId="14" fillId="5" borderId="9" xfId="0" applyNumberFormat="1" applyFont="1" applyFill="1" applyBorder="1"/>
    <xf numFmtId="0" fontId="14" fillId="5" borderId="10" xfId="0" applyNumberFormat="1" applyFont="1" applyFill="1" applyBorder="1"/>
    <xf numFmtId="0" fontId="14" fillId="5" borderId="11" xfId="0" applyNumberFormat="1" applyFont="1" applyFill="1" applyBorder="1"/>
    <xf numFmtId="0" fontId="14" fillId="5" borderId="12" xfId="0" applyNumberFormat="1" applyFont="1" applyFill="1" applyBorder="1"/>
    <xf numFmtId="0" fontId="14" fillId="5" borderId="13" xfId="0" applyNumberFormat="1" applyFont="1" applyFill="1" applyBorder="1"/>
    <xf numFmtId="0" fontId="14" fillId="5" borderId="14" xfId="0" applyNumberFormat="1" applyFont="1" applyFill="1" applyBorder="1"/>
    <xf numFmtId="0" fontId="14" fillId="5" borderId="15" xfId="0" applyNumberFormat="1" applyFont="1" applyFill="1" applyBorder="1"/>
    <xf numFmtId="0" fontId="14" fillId="5" borderId="8" xfId="0" applyNumberFormat="1" applyFont="1" applyFill="1" applyBorder="1" applyAlignment="1">
      <alignment wrapText="1"/>
    </xf>
    <xf numFmtId="0" fontId="14" fillId="5" borderId="9" xfId="0" applyNumberFormat="1" applyFont="1" applyFill="1" applyBorder="1" applyAlignment="1">
      <alignment wrapText="1"/>
    </xf>
    <xf numFmtId="0" fontId="14" fillId="5" borderId="10" xfId="0" applyNumberFormat="1" applyFont="1" applyFill="1" applyBorder="1" applyAlignment="1">
      <alignment wrapText="1"/>
    </xf>
    <xf numFmtId="0" fontId="14" fillId="5" borderId="11" xfId="0" applyNumberFormat="1" applyFont="1" applyFill="1" applyBorder="1" applyAlignment="1">
      <alignment wrapText="1"/>
    </xf>
    <xf numFmtId="0" fontId="14" fillId="5" borderId="0" xfId="0" applyNumberFormat="1" applyFont="1" applyFill="1" applyBorder="1" applyAlignment="1">
      <alignment wrapText="1"/>
    </xf>
    <xf numFmtId="0" fontId="14" fillId="5" borderId="12" xfId="0" applyNumberFormat="1" applyFont="1" applyFill="1" applyBorder="1" applyAlignment="1">
      <alignment wrapText="1"/>
    </xf>
    <xf numFmtId="0" fontId="14" fillId="5" borderId="13" xfId="0" applyNumberFormat="1" applyFont="1" applyFill="1" applyBorder="1" applyAlignment="1">
      <alignment wrapText="1"/>
    </xf>
    <xf numFmtId="0" fontId="14" fillId="5" borderId="14" xfId="0" applyNumberFormat="1" applyFont="1" applyFill="1" applyBorder="1" applyAlignment="1">
      <alignment wrapText="1"/>
    </xf>
    <xf numFmtId="0" fontId="14" fillId="5" borderId="15" xfId="0" applyNumberFormat="1" applyFont="1" applyFill="1" applyBorder="1" applyAlignment="1">
      <alignment wrapText="1"/>
    </xf>
    <xf numFmtId="0" fontId="14" fillId="5" borderId="8" xfId="0" applyNumberFormat="1" applyFont="1" applyFill="1" applyBorder="1" applyAlignment="1">
      <alignment horizontal="center" wrapText="1"/>
    </xf>
    <xf numFmtId="0" fontId="14" fillId="5" borderId="9" xfId="0" applyNumberFormat="1" applyFont="1" applyFill="1" applyBorder="1" applyAlignment="1">
      <alignment horizontal="center" wrapText="1"/>
    </xf>
    <xf numFmtId="0" fontId="14" fillId="5" borderId="10" xfId="0" applyNumberFormat="1" applyFont="1" applyFill="1" applyBorder="1" applyAlignment="1">
      <alignment horizontal="center" wrapText="1"/>
    </xf>
    <xf numFmtId="0" fontId="14" fillId="5" borderId="11" xfId="0" applyNumberFormat="1" applyFont="1" applyFill="1" applyBorder="1" applyAlignment="1">
      <alignment horizontal="center" wrapText="1"/>
    </xf>
    <xf numFmtId="0" fontId="14" fillId="5" borderId="0" xfId="0" applyNumberFormat="1" applyFont="1" applyFill="1" applyBorder="1" applyAlignment="1">
      <alignment horizontal="center" wrapText="1"/>
    </xf>
    <xf numFmtId="0" fontId="14" fillId="5" borderId="12" xfId="0" applyNumberFormat="1" applyFont="1" applyFill="1" applyBorder="1" applyAlignment="1">
      <alignment horizontal="center" wrapText="1"/>
    </xf>
    <xf numFmtId="0" fontId="14" fillId="5" borderId="13" xfId="0" applyNumberFormat="1" applyFont="1" applyFill="1" applyBorder="1" applyAlignment="1">
      <alignment horizontal="center" wrapText="1"/>
    </xf>
    <xf numFmtId="0" fontId="14" fillId="5" borderId="14" xfId="0" applyNumberFormat="1" applyFont="1" applyFill="1" applyBorder="1" applyAlignment="1">
      <alignment horizontal="center" wrapText="1"/>
    </xf>
    <xf numFmtId="0" fontId="14" fillId="5" borderId="15" xfId="0" applyNumberFormat="1" applyFont="1" applyFill="1" applyBorder="1" applyAlignment="1">
      <alignment horizontal="center" wrapText="1"/>
    </xf>
    <xf numFmtId="0" fontId="14" fillId="5" borderId="8" xfId="0" applyNumberFormat="1" applyFont="1" applyFill="1" applyBorder="1" applyAlignment="1">
      <alignment horizontal="center" vertical="center" wrapText="1"/>
    </xf>
    <xf numFmtId="0" fontId="14" fillId="5" borderId="9" xfId="0" applyNumberFormat="1" applyFont="1" applyFill="1" applyBorder="1" applyAlignment="1">
      <alignment horizontal="center" vertical="center" wrapText="1"/>
    </xf>
    <xf numFmtId="0" fontId="14" fillId="5" borderId="10" xfId="0" applyNumberFormat="1" applyFont="1" applyFill="1" applyBorder="1" applyAlignment="1">
      <alignment horizontal="center" vertical="center" wrapText="1"/>
    </xf>
    <xf numFmtId="0" fontId="14" fillId="5" borderId="11" xfId="0" applyNumberFormat="1" applyFont="1" applyFill="1" applyBorder="1" applyAlignment="1">
      <alignment horizontal="center" vertical="center" wrapText="1"/>
    </xf>
    <xf numFmtId="0" fontId="14" fillId="5" borderId="0" xfId="0" applyNumberFormat="1" applyFont="1" applyFill="1" applyBorder="1" applyAlignment="1">
      <alignment horizontal="center" vertical="center" wrapText="1"/>
    </xf>
    <xf numFmtId="0" fontId="14" fillId="5" borderId="12" xfId="0" applyNumberFormat="1" applyFont="1" applyFill="1" applyBorder="1" applyAlignment="1">
      <alignment horizontal="center" vertical="center" wrapText="1"/>
    </xf>
    <xf numFmtId="0" fontId="14" fillId="5" borderId="13" xfId="0" applyNumberFormat="1" applyFont="1" applyFill="1" applyBorder="1" applyAlignment="1">
      <alignment horizontal="center" vertical="center" wrapText="1"/>
    </xf>
    <xf numFmtId="0" fontId="14" fillId="5" borderId="14" xfId="0" applyNumberFormat="1" applyFont="1" applyFill="1" applyBorder="1" applyAlignment="1">
      <alignment horizontal="center" vertical="center" wrapText="1"/>
    </xf>
    <xf numFmtId="0" fontId="14" fillId="5" borderId="15" xfId="0" applyNumberFormat="1" applyFont="1" applyFill="1" applyBorder="1" applyAlignment="1">
      <alignment horizontal="center" vertical="center" wrapText="1"/>
    </xf>
    <xf numFmtId="0" fontId="14" fillId="5" borderId="1" xfId="0" applyNumberFormat="1" applyFont="1" applyFill="1" applyBorder="1"/>
    <xf numFmtId="0" fontId="14" fillId="5" borderId="16" xfId="0" applyNumberFormat="1" applyFont="1" applyFill="1" applyBorder="1"/>
    <xf numFmtId="0" fontId="14" fillId="5" borderId="17" xfId="0" applyNumberFormat="1" applyFont="1" applyFill="1" applyBorder="1"/>
    <xf numFmtId="0" fontId="14" fillId="5" borderId="18" xfId="0" applyNumberFormat="1" applyFont="1" applyFill="1" applyBorder="1"/>
    <xf numFmtId="0" fontId="14" fillId="5" borderId="19" xfId="0" applyNumberFormat="1" applyFont="1" applyFill="1" applyBorder="1"/>
    <xf numFmtId="0" fontId="14" fillId="5" borderId="20" xfId="0" applyNumberFormat="1" applyFont="1" applyFill="1" applyBorder="1"/>
    <xf numFmtId="0" fontId="14" fillId="5" borderId="21" xfId="0" applyNumberFormat="1" applyFont="1" applyFill="1" applyBorder="1"/>
    <xf numFmtId="0" fontId="14" fillId="5" borderId="22" xfId="0" applyNumberFormat="1" applyFont="1" applyFill="1" applyBorder="1"/>
    <xf numFmtId="0" fontId="14" fillId="5" borderId="23" xfId="0" applyNumberFormat="1" applyFont="1" applyFill="1" applyBorder="1"/>
    <xf numFmtId="0" fontId="14" fillId="5" borderId="16" xfId="0" applyNumberFormat="1" applyFont="1" applyFill="1" applyBorder="1" applyAlignment="1">
      <alignment wrapText="1"/>
    </xf>
    <xf numFmtId="0" fontId="14" fillId="5" borderId="17" xfId="0" applyNumberFormat="1" applyFont="1" applyFill="1" applyBorder="1" applyAlignment="1">
      <alignment wrapText="1"/>
    </xf>
    <xf numFmtId="0" fontId="14" fillId="5" borderId="18" xfId="0" applyNumberFormat="1" applyFont="1" applyFill="1" applyBorder="1" applyAlignment="1">
      <alignment wrapText="1"/>
    </xf>
    <xf numFmtId="0" fontId="14" fillId="5" borderId="19" xfId="0" applyNumberFormat="1" applyFont="1" applyFill="1" applyBorder="1" applyAlignment="1">
      <alignment wrapText="1"/>
    </xf>
    <xf numFmtId="0" fontId="14" fillId="5" borderId="1" xfId="0" applyNumberFormat="1" applyFont="1" applyFill="1" applyBorder="1" applyAlignment="1">
      <alignment wrapText="1"/>
    </xf>
    <xf numFmtId="0" fontId="14" fillId="5" borderId="20" xfId="0" applyNumberFormat="1" applyFont="1" applyFill="1" applyBorder="1" applyAlignment="1">
      <alignment wrapText="1"/>
    </xf>
    <xf numFmtId="0" fontId="14" fillId="5" borderId="21" xfId="0" applyNumberFormat="1" applyFont="1" applyFill="1" applyBorder="1" applyAlignment="1">
      <alignment wrapText="1"/>
    </xf>
    <xf numFmtId="0" fontId="14" fillId="5" borderId="22" xfId="0" applyNumberFormat="1" applyFont="1" applyFill="1" applyBorder="1" applyAlignment="1">
      <alignment wrapText="1"/>
    </xf>
    <xf numFmtId="0" fontId="14" fillId="5" borderId="23" xfId="0" applyNumberFormat="1" applyFont="1" applyFill="1" applyBorder="1" applyAlignment="1">
      <alignment wrapText="1"/>
    </xf>
    <xf numFmtId="0" fontId="14" fillId="5" borderId="16" xfId="0" applyNumberFormat="1" applyFont="1" applyFill="1" applyBorder="1" applyAlignment="1">
      <alignment horizontal="center" wrapText="1"/>
    </xf>
    <xf numFmtId="0" fontId="14" fillId="5" borderId="17" xfId="0" applyNumberFormat="1" applyFont="1" applyFill="1" applyBorder="1" applyAlignment="1">
      <alignment horizontal="center" wrapText="1"/>
    </xf>
    <xf numFmtId="0" fontId="14" fillId="5" borderId="18" xfId="0" applyNumberFormat="1" applyFont="1" applyFill="1" applyBorder="1" applyAlignment="1">
      <alignment horizontal="center" wrapText="1"/>
    </xf>
    <xf numFmtId="0" fontId="14" fillId="5" borderId="19" xfId="0" applyNumberFormat="1" applyFont="1" applyFill="1" applyBorder="1" applyAlignment="1">
      <alignment horizontal="center" wrapText="1"/>
    </xf>
    <xf numFmtId="0" fontId="14" fillId="5" borderId="1" xfId="0" applyNumberFormat="1" applyFont="1" applyFill="1" applyBorder="1" applyAlignment="1">
      <alignment horizontal="center" wrapText="1"/>
    </xf>
    <xf numFmtId="0" fontId="14" fillId="5" borderId="20" xfId="0" applyNumberFormat="1" applyFont="1" applyFill="1" applyBorder="1" applyAlignment="1">
      <alignment horizontal="center" wrapText="1"/>
    </xf>
    <xf numFmtId="0" fontId="14" fillId="5" borderId="21" xfId="0" applyNumberFormat="1" applyFont="1" applyFill="1" applyBorder="1" applyAlignment="1">
      <alignment horizontal="center" wrapText="1"/>
    </xf>
    <xf numFmtId="0" fontId="14" fillId="5" borderId="22" xfId="0" applyNumberFormat="1" applyFont="1" applyFill="1" applyBorder="1" applyAlignment="1">
      <alignment horizontal="center" wrapText="1"/>
    </xf>
    <xf numFmtId="0" fontId="14" fillId="5" borderId="23" xfId="0" applyNumberFormat="1" applyFont="1" applyFill="1" applyBorder="1" applyAlignment="1">
      <alignment horizontal="center" wrapText="1"/>
    </xf>
    <xf numFmtId="0" fontId="14" fillId="5" borderId="16" xfId="0" applyNumberFormat="1" applyFont="1" applyFill="1" applyBorder="1" applyAlignment="1">
      <alignment horizontal="center" vertical="center" wrapText="1"/>
    </xf>
    <xf numFmtId="0" fontId="14" fillId="5" borderId="17" xfId="0" applyNumberFormat="1" applyFont="1" applyFill="1" applyBorder="1" applyAlignment="1">
      <alignment horizontal="center" vertical="center" wrapText="1"/>
    </xf>
    <xf numFmtId="0" fontId="14" fillId="5" borderId="18" xfId="0" applyNumberFormat="1" applyFont="1" applyFill="1" applyBorder="1" applyAlignment="1">
      <alignment horizontal="center" vertical="center" wrapText="1"/>
    </xf>
    <xf numFmtId="0" fontId="14" fillId="5" borderId="19" xfId="0" applyNumberFormat="1" applyFont="1" applyFill="1" applyBorder="1" applyAlignment="1">
      <alignment horizontal="center" vertical="center" wrapText="1"/>
    </xf>
    <xf numFmtId="0" fontId="14" fillId="5" borderId="1" xfId="0" applyNumberFormat="1" applyFont="1" applyFill="1" applyBorder="1" applyAlignment="1">
      <alignment horizontal="center" vertical="center" wrapText="1"/>
    </xf>
    <xf numFmtId="0" fontId="14" fillId="5" borderId="20" xfId="0" applyNumberFormat="1" applyFont="1" applyFill="1" applyBorder="1" applyAlignment="1">
      <alignment horizontal="center" vertical="center" wrapText="1"/>
    </xf>
    <xf numFmtId="0" fontId="14" fillId="5" borderId="21" xfId="0" applyNumberFormat="1" applyFont="1" applyFill="1" applyBorder="1" applyAlignment="1">
      <alignment horizontal="center" vertical="center" wrapText="1"/>
    </xf>
    <xf numFmtId="0" fontId="14" fillId="5" borderId="22" xfId="0" applyNumberFormat="1" applyFont="1" applyFill="1" applyBorder="1" applyAlignment="1">
      <alignment horizontal="center" vertical="center" wrapText="1"/>
    </xf>
    <xf numFmtId="0" fontId="14" fillId="5" borderId="23" xfId="0" applyNumberFormat="1" applyFont="1" applyFill="1" applyBorder="1" applyAlignment="1">
      <alignment horizontal="center" vertical="center" wrapText="1"/>
    </xf>
    <xf numFmtId="0" fontId="10" fillId="5" borderId="9" xfId="0" applyNumberFormat="1" applyFont="1" applyFill="1" applyBorder="1"/>
    <xf numFmtId="0" fontId="10" fillId="5" borderId="11" xfId="0" applyNumberFormat="1" applyFont="1" applyFill="1" applyBorder="1"/>
    <xf numFmtId="0" fontId="10" fillId="5" borderId="12" xfId="0" applyNumberFormat="1" applyFont="1" applyFill="1" applyBorder="1"/>
    <xf numFmtId="0" fontId="10" fillId="5" borderId="14" xfId="0" applyNumberFormat="1" applyFont="1" applyFill="1" applyBorder="1"/>
    <xf numFmtId="0" fontId="10" fillId="5" borderId="9" xfId="0" applyNumberFormat="1" applyFont="1" applyFill="1" applyBorder="1" applyAlignment="1">
      <alignment wrapText="1"/>
    </xf>
    <xf numFmtId="0" fontId="10" fillId="5" borderId="11" xfId="0" applyNumberFormat="1" applyFont="1" applyFill="1" applyBorder="1" applyAlignment="1">
      <alignment wrapText="1"/>
    </xf>
    <xf numFmtId="0" fontId="10" fillId="5" borderId="0" xfId="0" applyNumberFormat="1" applyFont="1" applyFill="1" applyBorder="1" applyAlignment="1">
      <alignment wrapText="1"/>
    </xf>
    <xf numFmtId="0" fontId="10" fillId="5" borderId="12" xfId="0" applyNumberFormat="1" applyFont="1" applyFill="1" applyBorder="1" applyAlignment="1">
      <alignment wrapText="1"/>
    </xf>
    <xf numFmtId="0" fontId="10" fillId="5" borderId="14" xfId="0" applyNumberFormat="1" applyFont="1" applyFill="1" applyBorder="1" applyAlignment="1">
      <alignment wrapText="1"/>
    </xf>
    <xf numFmtId="0" fontId="10" fillId="5" borderId="9" xfId="0" applyNumberFormat="1" applyFont="1" applyFill="1" applyBorder="1" applyAlignment="1">
      <alignment horizontal="center" wrapText="1"/>
    </xf>
    <xf numFmtId="0" fontId="10" fillId="5" borderId="11" xfId="0" applyNumberFormat="1" applyFont="1" applyFill="1" applyBorder="1" applyAlignment="1">
      <alignment horizontal="center" wrapText="1"/>
    </xf>
    <xf numFmtId="0" fontId="10" fillId="5" borderId="0" xfId="0" applyNumberFormat="1" applyFont="1" applyFill="1" applyBorder="1" applyAlignment="1">
      <alignment horizontal="center" wrapText="1"/>
    </xf>
    <xf numFmtId="0" fontId="10" fillId="5" borderId="12" xfId="0" applyNumberFormat="1" applyFont="1" applyFill="1" applyBorder="1" applyAlignment="1">
      <alignment horizontal="center" wrapText="1"/>
    </xf>
    <xf numFmtId="0" fontId="10" fillId="5" borderId="14" xfId="0" applyNumberFormat="1" applyFont="1" applyFill="1" applyBorder="1" applyAlignment="1">
      <alignment horizontal="center" wrapText="1"/>
    </xf>
    <xf numFmtId="0" fontId="10" fillId="5" borderId="9" xfId="0" applyNumberFormat="1" applyFont="1" applyFill="1" applyBorder="1" applyAlignment="1">
      <alignment horizontal="center" vertical="center" wrapText="1"/>
    </xf>
    <xf numFmtId="0" fontId="10" fillId="5" borderId="11" xfId="0" applyNumberFormat="1" applyFont="1" applyFill="1" applyBorder="1" applyAlignment="1">
      <alignment horizontal="center" vertical="center" wrapText="1"/>
    </xf>
    <xf numFmtId="0" fontId="10" fillId="5" borderId="0" xfId="0" applyNumberFormat="1" applyFont="1" applyFill="1" applyBorder="1" applyAlignment="1">
      <alignment horizontal="center" vertical="center" wrapText="1"/>
    </xf>
    <xf numFmtId="0" fontId="10" fillId="5" borderId="12" xfId="0" applyNumberFormat="1" applyFont="1" applyFill="1" applyBorder="1" applyAlignment="1">
      <alignment horizontal="center" vertical="center" wrapText="1"/>
    </xf>
    <xf numFmtId="0" fontId="10" fillId="5" borderId="14" xfId="0" applyNumberFormat="1" applyFont="1" applyFill="1" applyBorder="1" applyAlignment="1">
      <alignment horizontal="center" vertical="center" wrapText="1"/>
    </xf>
    <xf numFmtId="0" fontId="10" fillId="5" borderId="17" xfId="0" applyNumberFormat="1" applyFont="1" applyFill="1" applyBorder="1"/>
    <xf numFmtId="0" fontId="10" fillId="5" borderId="19" xfId="0" applyNumberFormat="1" applyFont="1" applyFill="1" applyBorder="1"/>
    <xf numFmtId="0" fontId="10" fillId="5" borderId="20" xfId="0" applyNumberFormat="1" applyFont="1" applyFill="1" applyBorder="1"/>
    <xf numFmtId="0" fontId="10" fillId="5" borderId="22" xfId="0" applyNumberFormat="1" applyFont="1" applyFill="1" applyBorder="1"/>
    <xf numFmtId="0" fontId="10" fillId="5" borderId="17" xfId="0" applyNumberFormat="1" applyFont="1" applyFill="1" applyBorder="1" applyAlignment="1">
      <alignment wrapText="1"/>
    </xf>
    <xf numFmtId="0" fontId="10" fillId="5" borderId="19" xfId="0" applyNumberFormat="1" applyFont="1" applyFill="1" applyBorder="1" applyAlignment="1">
      <alignment wrapText="1"/>
    </xf>
    <xf numFmtId="0" fontId="10" fillId="5" borderId="1" xfId="0" applyNumberFormat="1" applyFont="1" applyFill="1" applyBorder="1" applyAlignment="1">
      <alignment wrapText="1"/>
    </xf>
    <xf numFmtId="0" fontId="10" fillId="5" borderId="20" xfId="0" applyNumberFormat="1" applyFont="1" applyFill="1" applyBorder="1" applyAlignment="1">
      <alignment wrapText="1"/>
    </xf>
    <xf numFmtId="0" fontId="10" fillId="5" borderId="22" xfId="0" applyNumberFormat="1" applyFont="1" applyFill="1" applyBorder="1" applyAlignment="1">
      <alignment wrapText="1"/>
    </xf>
    <xf numFmtId="0" fontId="10" fillId="5" borderId="17" xfId="0" applyNumberFormat="1" applyFont="1" applyFill="1" applyBorder="1" applyAlignment="1">
      <alignment horizontal="center" wrapText="1"/>
    </xf>
    <xf numFmtId="0" fontId="10" fillId="5" borderId="19" xfId="0" applyNumberFormat="1" applyFont="1" applyFill="1" applyBorder="1" applyAlignment="1">
      <alignment horizontal="center" wrapText="1"/>
    </xf>
    <xf numFmtId="0" fontId="10" fillId="5" borderId="1" xfId="0" applyNumberFormat="1" applyFont="1" applyFill="1" applyBorder="1" applyAlignment="1">
      <alignment horizontal="center" wrapText="1"/>
    </xf>
    <xf numFmtId="0" fontId="10" fillId="5" borderId="20" xfId="0" applyNumberFormat="1" applyFont="1" applyFill="1" applyBorder="1" applyAlignment="1">
      <alignment horizontal="center" wrapText="1"/>
    </xf>
    <xf numFmtId="0" fontId="10" fillId="5" borderId="22" xfId="0" applyNumberFormat="1" applyFont="1" applyFill="1" applyBorder="1" applyAlignment="1">
      <alignment horizontal="center" wrapText="1"/>
    </xf>
    <xf numFmtId="0" fontId="10" fillId="5" borderId="17" xfId="0" applyNumberFormat="1" applyFont="1" applyFill="1" applyBorder="1" applyAlignment="1">
      <alignment horizontal="center" vertical="center" wrapText="1"/>
    </xf>
    <xf numFmtId="0" fontId="10" fillId="5" borderId="19" xfId="0" applyNumberFormat="1" applyFont="1" applyFill="1" applyBorder="1" applyAlignment="1">
      <alignment horizontal="center" vertical="center" wrapText="1"/>
    </xf>
    <xf numFmtId="0" fontId="10" fillId="5" borderId="1" xfId="0" applyNumberFormat="1" applyFont="1" applyFill="1" applyBorder="1" applyAlignment="1">
      <alignment horizontal="center" vertical="center" wrapText="1"/>
    </xf>
    <xf numFmtId="0" fontId="10" fillId="5" borderId="20" xfId="0" applyNumberFormat="1" applyFont="1" applyFill="1" applyBorder="1" applyAlignment="1">
      <alignment horizontal="center" vertical="center" wrapText="1"/>
    </xf>
    <xf numFmtId="0" fontId="10" fillId="5" borderId="22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/>
    </xf>
    <xf numFmtId="0" fontId="3" fillId="4" borderId="3" xfId="0" applyNumberFormat="1" applyFont="1" applyFill="1" applyBorder="1" applyAlignment="1">
      <alignment horizontal="center"/>
    </xf>
    <xf numFmtId="0" fontId="3" fillId="4" borderId="4" xfId="0" applyNumberFormat="1" applyFont="1" applyFill="1" applyBorder="1" applyAlignment="1">
      <alignment horizontal="center"/>
    </xf>
    <xf numFmtId="0" fontId="3" fillId="4" borderId="5" xfId="0" applyNumberFormat="1" applyFont="1" applyFill="1" applyBorder="1" applyAlignment="1">
      <alignment horizontal="center"/>
    </xf>
    <xf numFmtId="0" fontId="3" fillId="4" borderId="6" xfId="0" applyNumberFormat="1" applyFont="1" applyFill="1" applyBorder="1" applyAlignment="1">
      <alignment horizontal="center"/>
    </xf>
    <xf numFmtId="0" fontId="3" fillId="4" borderId="7" xfId="0" applyNumberFormat="1" applyFont="1" applyFill="1" applyBorder="1" applyAlignment="1">
      <alignment horizontal="center"/>
    </xf>
    <xf numFmtId="0" fontId="9" fillId="5" borderId="8" xfId="0" applyNumberFormat="1" applyFont="1" applyFill="1" applyBorder="1" applyAlignment="1">
      <alignment horizontal="left" vertical="center" wrapText="1"/>
    </xf>
    <xf numFmtId="0" fontId="9" fillId="5" borderId="9" xfId="0" applyNumberFormat="1" applyFont="1" applyFill="1" applyBorder="1" applyAlignment="1">
      <alignment horizontal="left" vertical="center" wrapText="1"/>
    </xf>
    <xf numFmtId="0" fontId="9" fillId="5" borderId="10" xfId="0" applyNumberFormat="1" applyFont="1" applyFill="1" applyBorder="1" applyAlignment="1">
      <alignment horizontal="left" vertical="center" wrapText="1"/>
    </xf>
    <xf numFmtId="0" fontId="9" fillId="5" borderId="13" xfId="0" applyNumberFormat="1" applyFont="1" applyFill="1" applyBorder="1" applyAlignment="1">
      <alignment horizontal="left" vertical="center" wrapText="1"/>
    </xf>
    <xf numFmtId="0" fontId="9" fillId="5" borderId="14" xfId="0" applyNumberFormat="1" applyFont="1" applyFill="1" applyBorder="1" applyAlignment="1">
      <alignment horizontal="left" vertical="center" wrapText="1"/>
    </xf>
    <xf numFmtId="0" fontId="9" fillId="5" borderId="15" xfId="0" applyNumberFormat="1" applyFont="1" applyFill="1" applyBorder="1" applyAlignment="1">
      <alignment horizontal="left" vertical="center" wrapText="1"/>
    </xf>
    <xf numFmtId="0" fontId="9" fillId="5" borderId="16" xfId="0" applyNumberFormat="1" applyFont="1" applyFill="1" applyBorder="1" applyAlignment="1">
      <alignment horizontal="left" vertical="center" wrapText="1"/>
    </xf>
    <xf numFmtId="0" fontId="9" fillId="5" borderId="17" xfId="0" applyNumberFormat="1" applyFont="1" applyFill="1" applyBorder="1" applyAlignment="1">
      <alignment horizontal="left" vertical="center" wrapText="1"/>
    </xf>
    <xf numFmtId="0" fontId="9" fillId="5" borderId="18" xfId="0" applyNumberFormat="1" applyFont="1" applyFill="1" applyBorder="1" applyAlignment="1">
      <alignment horizontal="left" vertical="center" wrapText="1"/>
    </xf>
    <xf numFmtId="0" fontId="9" fillId="5" borderId="21" xfId="0" applyNumberFormat="1" applyFont="1" applyFill="1" applyBorder="1" applyAlignment="1">
      <alignment horizontal="left" vertical="center" wrapText="1"/>
    </xf>
    <xf numFmtId="0" fontId="9" fillId="5" borderId="22" xfId="0" applyNumberFormat="1" applyFont="1" applyFill="1" applyBorder="1" applyAlignment="1">
      <alignment horizontal="left" vertical="center" wrapText="1"/>
    </xf>
    <xf numFmtId="0" fontId="9" fillId="5" borderId="23" xfId="0" applyNumberFormat="1" applyFont="1" applyFill="1" applyBorder="1" applyAlignment="1">
      <alignment horizontal="left" vertical="center" wrapText="1"/>
    </xf>
    <xf numFmtId="0" fontId="9" fillId="5" borderId="8" xfId="0" applyNumberFormat="1" applyFont="1" applyFill="1" applyBorder="1" applyAlignment="1">
      <alignment horizontal="center" wrapText="1"/>
    </xf>
    <xf numFmtId="0" fontId="9" fillId="5" borderId="9" xfId="0" applyNumberFormat="1" applyFont="1" applyFill="1" applyBorder="1" applyAlignment="1">
      <alignment horizontal="center" wrapText="1"/>
    </xf>
    <xf numFmtId="0" fontId="9" fillId="5" borderId="10" xfId="0" applyNumberFormat="1" applyFont="1" applyFill="1" applyBorder="1" applyAlignment="1">
      <alignment horizontal="center" wrapText="1"/>
    </xf>
    <xf numFmtId="0" fontId="9" fillId="5" borderId="13" xfId="0" applyNumberFormat="1" applyFont="1" applyFill="1" applyBorder="1" applyAlignment="1">
      <alignment horizontal="center" wrapText="1"/>
    </xf>
    <xf numFmtId="0" fontId="9" fillId="5" borderId="14" xfId="0" applyNumberFormat="1" applyFont="1" applyFill="1" applyBorder="1" applyAlignment="1">
      <alignment horizontal="center" wrapText="1"/>
    </xf>
    <xf numFmtId="0" fontId="9" fillId="5" borderId="15" xfId="0" applyNumberFormat="1" applyFont="1" applyFill="1" applyBorder="1" applyAlignment="1">
      <alignment horizontal="center" wrapText="1"/>
    </xf>
    <xf numFmtId="0" fontId="9" fillId="5" borderId="8" xfId="0" applyNumberFormat="1" applyFont="1" applyFill="1" applyBorder="1" applyAlignment="1">
      <alignment horizontal="center" vertical="center" wrapText="1"/>
    </xf>
    <xf numFmtId="0" fontId="9" fillId="5" borderId="9" xfId="0" applyNumberFormat="1" applyFont="1" applyFill="1" applyBorder="1" applyAlignment="1">
      <alignment horizontal="center" vertical="center" wrapText="1"/>
    </xf>
    <xf numFmtId="0" fontId="9" fillId="5" borderId="10" xfId="0" applyNumberFormat="1" applyFont="1" applyFill="1" applyBorder="1" applyAlignment="1">
      <alignment horizontal="center" vertical="center" wrapText="1"/>
    </xf>
    <xf numFmtId="0" fontId="9" fillId="5" borderId="13" xfId="0" applyNumberFormat="1" applyFont="1" applyFill="1" applyBorder="1" applyAlignment="1">
      <alignment horizontal="center" vertical="center" wrapText="1"/>
    </xf>
    <xf numFmtId="0" fontId="9" fillId="5" borderId="14" xfId="0" applyNumberFormat="1" applyFont="1" applyFill="1" applyBorder="1" applyAlignment="1">
      <alignment horizontal="center" vertical="center" wrapText="1"/>
    </xf>
    <xf numFmtId="0" fontId="9" fillId="5" borderId="15" xfId="0" applyNumberFormat="1" applyFont="1" applyFill="1" applyBorder="1" applyAlignment="1">
      <alignment horizontal="center" vertical="center" wrapText="1"/>
    </xf>
    <xf numFmtId="0" fontId="9" fillId="5" borderId="16" xfId="0" applyNumberFormat="1" applyFont="1" applyFill="1" applyBorder="1" applyAlignment="1">
      <alignment horizontal="center" wrapText="1"/>
    </xf>
    <xf numFmtId="0" fontId="9" fillId="5" borderId="17" xfId="0" applyNumberFormat="1" applyFont="1" applyFill="1" applyBorder="1" applyAlignment="1">
      <alignment horizontal="center" wrapText="1"/>
    </xf>
    <xf numFmtId="0" fontId="9" fillId="5" borderId="18" xfId="0" applyNumberFormat="1" applyFont="1" applyFill="1" applyBorder="1" applyAlignment="1">
      <alignment horizontal="center" wrapText="1"/>
    </xf>
    <xf numFmtId="0" fontId="9" fillId="5" borderId="21" xfId="0" applyNumberFormat="1" applyFont="1" applyFill="1" applyBorder="1" applyAlignment="1">
      <alignment horizontal="center" wrapText="1"/>
    </xf>
    <xf numFmtId="0" fontId="9" fillId="5" borderId="22" xfId="0" applyNumberFormat="1" applyFont="1" applyFill="1" applyBorder="1" applyAlignment="1">
      <alignment horizontal="center" wrapText="1"/>
    </xf>
    <xf numFmtId="0" fontId="9" fillId="5" borderId="23" xfId="0" applyNumberFormat="1" applyFont="1" applyFill="1" applyBorder="1" applyAlignment="1">
      <alignment horizontal="center" wrapText="1"/>
    </xf>
    <xf numFmtId="0" fontId="9" fillId="5" borderId="16" xfId="0" applyNumberFormat="1" applyFont="1" applyFill="1" applyBorder="1" applyAlignment="1">
      <alignment horizontal="center" vertical="center" wrapText="1"/>
    </xf>
    <xf numFmtId="0" fontId="9" fillId="5" borderId="17" xfId="0" applyNumberFormat="1" applyFont="1" applyFill="1" applyBorder="1" applyAlignment="1">
      <alignment horizontal="center" vertical="center" wrapText="1"/>
    </xf>
    <xf numFmtId="0" fontId="9" fillId="5" borderId="18" xfId="0" applyNumberFormat="1" applyFont="1" applyFill="1" applyBorder="1" applyAlignment="1">
      <alignment horizontal="center" vertical="center" wrapText="1"/>
    </xf>
    <xf numFmtId="0" fontId="9" fillId="5" borderId="21" xfId="0" applyNumberFormat="1" applyFont="1" applyFill="1" applyBorder="1" applyAlignment="1">
      <alignment horizontal="center" vertical="center" wrapText="1"/>
    </xf>
    <xf numFmtId="0" fontId="9" fillId="5" borderId="22" xfId="0" applyNumberFormat="1" applyFont="1" applyFill="1" applyBorder="1" applyAlignment="1">
      <alignment horizontal="center" vertical="center" wrapText="1"/>
    </xf>
    <xf numFmtId="0" fontId="9" fillId="5" borderId="23" xfId="0" applyNumberFormat="1" applyFont="1" applyFill="1" applyBorder="1" applyAlignment="1">
      <alignment horizontal="center" vertical="center" wrapText="1"/>
    </xf>
    <xf numFmtId="0" fontId="15" fillId="4" borderId="0" xfId="0" applyNumberFormat="1" applyFont="1" applyFill="1" applyBorder="1"/>
    <xf numFmtId="0" fontId="15" fillId="4" borderId="2" xfId="0" applyNumberFormat="1" applyFont="1" applyFill="1" applyBorder="1"/>
    <xf numFmtId="0" fontId="15" fillId="4" borderId="3" xfId="0" applyNumberFormat="1" applyFont="1" applyFill="1" applyBorder="1"/>
    <xf numFmtId="0" fontId="15" fillId="4" borderId="4" xfId="0" applyNumberFormat="1" applyFont="1" applyFill="1" applyBorder="1"/>
    <xf numFmtId="0" fontId="15" fillId="4" borderId="2" xfId="0" applyNumberFormat="1" applyFont="1" applyFill="1" applyBorder="1" applyAlignment="1">
      <alignment horizontal="center"/>
    </xf>
    <xf numFmtId="0" fontId="15" fillId="4" borderId="3" xfId="0" applyNumberFormat="1" applyFont="1" applyFill="1" applyBorder="1" applyAlignment="1">
      <alignment horizontal="center"/>
    </xf>
    <xf numFmtId="0" fontId="15" fillId="4" borderId="4" xfId="0" applyNumberFormat="1" applyFont="1" applyFill="1" applyBorder="1" applyAlignment="1">
      <alignment horizontal="center"/>
    </xf>
    <xf numFmtId="0" fontId="15" fillId="4" borderId="1" xfId="0" applyNumberFormat="1" applyFont="1" applyFill="1" applyBorder="1"/>
    <xf numFmtId="0" fontId="15" fillId="4" borderId="5" xfId="0" applyNumberFormat="1" applyFont="1" applyFill="1" applyBorder="1"/>
    <xf numFmtId="0" fontId="15" fillId="4" borderId="6" xfId="0" applyNumberFormat="1" applyFont="1" applyFill="1" applyBorder="1"/>
    <xf numFmtId="0" fontId="15" fillId="4" borderId="7" xfId="0" applyNumberFormat="1" applyFont="1" applyFill="1" applyBorder="1"/>
    <xf numFmtId="0" fontId="15" fillId="4" borderId="5" xfId="0" applyNumberFormat="1" applyFont="1" applyFill="1" applyBorder="1" applyAlignment="1">
      <alignment horizontal="center"/>
    </xf>
    <xf numFmtId="0" fontId="15" fillId="4" borderId="6" xfId="0" applyNumberFormat="1" applyFont="1" applyFill="1" applyBorder="1" applyAlignment="1">
      <alignment horizontal="center"/>
    </xf>
    <xf numFmtId="0" fontId="15" fillId="4" borderId="7" xfId="0" applyNumberFormat="1" applyFont="1" applyFill="1" applyBorder="1" applyAlignment="1">
      <alignment horizontal="center"/>
    </xf>
    <xf numFmtId="0" fontId="9" fillId="5" borderId="2" xfId="0" applyNumberFormat="1" applyFont="1" applyFill="1" applyBorder="1"/>
    <xf numFmtId="0" fontId="9" fillId="5" borderId="3" xfId="0" applyNumberFormat="1" applyFont="1" applyFill="1" applyBorder="1"/>
    <xf numFmtId="0" fontId="9" fillId="5" borderId="4" xfId="0" applyNumberFormat="1" applyFont="1" applyFill="1" applyBorder="1"/>
    <xf numFmtId="0" fontId="9" fillId="5" borderId="2" xfId="0" applyNumberFormat="1" applyFont="1" applyFill="1" applyBorder="1" applyAlignment="1">
      <alignment wrapText="1"/>
    </xf>
    <xf numFmtId="0" fontId="9" fillId="5" borderId="3" xfId="0" applyNumberFormat="1" applyFont="1" applyFill="1" applyBorder="1" applyAlignment="1">
      <alignment wrapText="1"/>
    </xf>
    <xf numFmtId="0" fontId="9" fillId="5" borderId="4" xfId="0" applyNumberFormat="1" applyFont="1" applyFill="1" applyBorder="1" applyAlignment="1">
      <alignment wrapText="1"/>
    </xf>
    <xf numFmtId="0" fontId="9" fillId="5" borderId="2" xfId="0" applyNumberFormat="1" applyFont="1" applyFill="1" applyBorder="1" applyAlignment="1">
      <alignment horizontal="center" wrapText="1"/>
    </xf>
    <xf numFmtId="0" fontId="9" fillId="5" borderId="3" xfId="0" applyNumberFormat="1" applyFont="1" applyFill="1" applyBorder="1" applyAlignment="1">
      <alignment horizontal="center" wrapText="1"/>
    </xf>
    <xf numFmtId="0" fontId="9" fillId="5" borderId="4" xfId="0" applyNumberFormat="1" applyFont="1" applyFill="1" applyBorder="1" applyAlignment="1">
      <alignment horizontal="center" wrapText="1"/>
    </xf>
    <xf numFmtId="0" fontId="9" fillId="5" borderId="2" xfId="0" applyNumberFormat="1" applyFont="1" applyFill="1" applyBorder="1" applyAlignment="1">
      <alignment horizontal="center" vertical="center" wrapText="1"/>
    </xf>
    <xf numFmtId="0" fontId="9" fillId="5" borderId="3" xfId="0" applyNumberFormat="1" applyFont="1" applyFill="1" applyBorder="1" applyAlignment="1">
      <alignment horizontal="center" vertical="center" wrapText="1"/>
    </xf>
    <xf numFmtId="0" fontId="9" fillId="5" borderId="4" xfId="0" applyNumberFormat="1" applyFont="1" applyFill="1" applyBorder="1" applyAlignment="1">
      <alignment horizontal="center" vertical="center" wrapText="1"/>
    </xf>
    <xf numFmtId="0" fontId="9" fillId="5" borderId="5" xfId="0" applyNumberFormat="1" applyFont="1" applyFill="1" applyBorder="1"/>
    <xf numFmtId="0" fontId="9" fillId="5" borderId="6" xfId="0" applyNumberFormat="1" applyFont="1" applyFill="1" applyBorder="1"/>
    <xf numFmtId="0" fontId="9" fillId="5" borderId="7" xfId="0" applyNumberFormat="1" applyFont="1" applyFill="1" applyBorder="1"/>
    <xf numFmtId="0" fontId="9" fillId="5" borderId="5" xfId="0" applyNumberFormat="1" applyFont="1" applyFill="1" applyBorder="1" applyAlignment="1">
      <alignment wrapText="1"/>
    </xf>
    <xf numFmtId="0" fontId="9" fillId="5" borderId="6" xfId="0" applyNumberFormat="1" applyFont="1" applyFill="1" applyBorder="1" applyAlignment="1">
      <alignment wrapText="1"/>
    </xf>
    <xf numFmtId="0" fontId="9" fillId="5" borderId="7" xfId="0" applyNumberFormat="1" applyFont="1" applyFill="1" applyBorder="1" applyAlignment="1">
      <alignment wrapText="1"/>
    </xf>
    <xf numFmtId="0" fontId="9" fillId="5" borderId="5" xfId="0" applyNumberFormat="1" applyFont="1" applyFill="1" applyBorder="1" applyAlignment="1">
      <alignment horizontal="center" wrapText="1"/>
    </xf>
    <xf numFmtId="0" fontId="9" fillId="5" borderId="6" xfId="0" applyNumberFormat="1" applyFont="1" applyFill="1" applyBorder="1" applyAlignment="1">
      <alignment horizontal="center" wrapText="1"/>
    </xf>
    <xf numFmtId="0" fontId="9" fillId="5" borderId="7" xfId="0" applyNumberFormat="1" applyFont="1" applyFill="1" applyBorder="1" applyAlignment="1">
      <alignment horizontal="center" wrapText="1"/>
    </xf>
    <xf numFmtId="0" fontId="9" fillId="5" borderId="5" xfId="0" applyNumberFormat="1" applyFont="1" applyFill="1" applyBorder="1" applyAlignment="1">
      <alignment horizontal="center" vertical="center" wrapText="1"/>
    </xf>
    <xf numFmtId="0" fontId="9" fillId="5" borderId="6" xfId="0" applyNumberFormat="1" applyFont="1" applyFill="1" applyBorder="1" applyAlignment="1">
      <alignment horizontal="center" vertical="center" wrapText="1"/>
    </xf>
    <xf numFmtId="0" fontId="9" fillId="5" borderId="7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/>
    </xf>
    <xf numFmtId="0" fontId="16" fillId="6" borderId="0" xfId="0" applyNumberFormat="1" applyFont="1" applyFill="1" applyBorder="1"/>
    <xf numFmtId="0" fontId="16" fillId="6" borderId="8" xfId="0" applyNumberFormat="1" applyFont="1" applyFill="1" applyBorder="1"/>
    <xf numFmtId="0" fontId="16" fillId="6" borderId="9" xfId="0" applyNumberFormat="1" applyFont="1" applyFill="1" applyBorder="1"/>
    <xf numFmtId="0" fontId="16" fillId="6" borderId="10" xfId="0" applyNumberFormat="1" applyFont="1" applyFill="1" applyBorder="1"/>
    <xf numFmtId="0" fontId="16" fillId="6" borderId="11" xfId="0" applyNumberFormat="1" applyFont="1" applyFill="1" applyBorder="1"/>
    <xf numFmtId="0" fontId="16" fillId="6" borderId="12" xfId="0" applyNumberFormat="1" applyFont="1" applyFill="1" applyBorder="1"/>
    <xf numFmtId="0" fontId="16" fillId="6" borderId="13" xfId="0" applyNumberFormat="1" applyFont="1" applyFill="1" applyBorder="1"/>
    <xf numFmtId="0" fontId="16" fillId="6" borderId="14" xfId="0" applyNumberFormat="1" applyFont="1" applyFill="1" applyBorder="1"/>
    <xf numFmtId="0" fontId="16" fillId="6" borderId="15" xfId="0" applyNumberFormat="1" applyFont="1" applyFill="1" applyBorder="1"/>
    <xf numFmtId="0" fontId="16" fillId="6" borderId="8" xfId="0" applyNumberFormat="1" applyFont="1" applyFill="1" applyBorder="1" applyAlignment="1">
      <alignment wrapText="1"/>
    </xf>
    <xf numFmtId="0" fontId="16" fillId="6" borderId="9" xfId="0" applyNumberFormat="1" applyFont="1" applyFill="1" applyBorder="1" applyAlignment="1">
      <alignment wrapText="1"/>
    </xf>
    <xf numFmtId="0" fontId="16" fillId="6" borderId="10" xfId="0" applyNumberFormat="1" applyFont="1" applyFill="1" applyBorder="1" applyAlignment="1">
      <alignment wrapText="1"/>
    </xf>
    <xf numFmtId="0" fontId="16" fillId="6" borderId="11" xfId="0" applyNumberFormat="1" applyFont="1" applyFill="1" applyBorder="1" applyAlignment="1">
      <alignment wrapText="1"/>
    </xf>
    <xf numFmtId="0" fontId="16" fillId="6" borderId="0" xfId="0" applyNumberFormat="1" applyFont="1" applyFill="1" applyBorder="1" applyAlignment="1">
      <alignment wrapText="1"/>
    </xf>
    <xf numFmtId="0" fontId="16" fillId="6" borderId="12" xfId="0" applyNumberFormat="1" applyFont="1" applyFill="1" applyBorder="1" applyAlignment="1">
      <alignment wrapText="1"/>
    </xf>
    <xf numFmtId="0" fontId="16" fillId="6" borderId="13" xfId="0" applyNumberFormat="1" applyFont="1" applyFill="1" applyBorder="1" applyAlignment="1">
      <alignment wrapText="1"/>
    </xf>
    <xf numFmtId="0" fontId="16" fillId="6" borderId="14" xfId="0" applyNumberFormat="1" applyFont="1" applyFill="1" applyBorder="1" applyAlignment="1">
      <alignment wrapText="1"/>
    </xf>
    <xf numFmtId="0" fontId="16" fillId="6" borderId="15" xfId="0" applyNumberFormat="1" applyFont="1" applyFill="1" applyBorder="1" applyAlignment="1">
      <alignment wrapText="1"/>
    </xf>
    <xf numFmtId="0" fontId="16" fillId="6" borderId="8" xfId="0" applyNumberFormat="1" applyFont="1" applyFill="1" applyBorder="1" applyAlignment="1">
      <alignment horizontal="left" wrapText="1"/>
    </xf>
    <xf numFmtId="0" fontId="16" fillId="6" borderId="9" xfId="0" applyNumberFormat="1" applyFont="1" applyFill="1" applyBorder="1" applyAlignment="1">
      <alignment horizontal="left" wrapText="1"/>
    </xf>
    <xf numFmtId="0" fontId="16" fillId="6" borderId="10" xfId="0" applyNumberFormat="1" applyFont="1" applyFill="1" applyBorder="1" applyAlignment="1">
      <alignment horizontal="left" wrapText="1"/>
    </xf>
    <xf numFmtId="0" fontId="16" fillId="6" borderId="11" xfId="0" applyNumberFormat="1" applyFont="1" applyFill="1" applyBorder="1" applyAlignment="1">
      <alignment horizontal="left" wrapText="1"/>
    </xf>
    <xf numFmtId="0" fontId="16" fillId="6" borderId="0" xfId="0" applyNumberFormat="1" applyFont="1" applyFill="1" applyBorder="1" applyAlignment="1">
      <alignment horizontal="left" wrapText="1"/>
    </xf>
    <xf numFmtId="0" fontId="16" fillId="6" borderId="12" xfId="0" applyNumberFormat="1" applyFont="1" applyFill="1" applyBorder="1" applyAlignment="1">
      <alignment horizontal="left" wrapText="1"/>
    </xf>
    <xf numFmtId="0" fontId="16" fillId="6" borderId="13" xfId="0" applyNumberFormat="1" applyFont="1" applyFill="1" applyBorder="1" applyAlignment="1">
      <alignment horizontal="left" wrapText="1"/>
    </xf>
    <xf numFmtId="0" fontId="16" fillId="6" borderId="14" xfId="0" applyNumberFormat="1" applyFont="1" applyFill="1" applyBorder="1" applyAlignment="1">
      <alignment horizontal="left" wrapText="1"/>
    </xf>
    <xf numFmtId="0" fontId="16" fillId="6" borderId="15" xfId="0" applyNumberFormat="1" applyFont="1" applyFill="1" applyBorder="1" applyAlignment="1">
      <alignment horizontal="left" wrapText="1"/>
    </xf>
    <xf numFmtId="0" fontId="16" fillId="6" borderId="8" xfId="0" applyNumberFormat="1" applyFont="1" applyFill="1" applyBorder="1" applyAlignment="1">
      <alignment horizontal="left" vertical="center" wrapText="1"/>
    </xf>
    <xf numFmtId="0" fontId="16" fillId="6" borderId="9" xfId="0" applyNumberFormat="1" applyFont="1" applyFill="1" applyBorder="1" applyAlignment="1">
      <alignment horizontal="left" vertical="center" wrapText="1"/>
    </xf>
    <xf numFmtId="0" fontId="16" fillId="6" borderId="10" xfId="0" applyNumberFormat="1" applyFont="1" applyFill="1" applyBorder="1" applyAlignment="1">
      <alignment horizontal="left" vertical="center" wrapText="1"/>
    </xf>
    <xf numFmtId="0" fontId="16" fillId="6" borderId="11" xfId="0" applyNumberFormat="1" applyFont="1" applyFill="1" applyBorder="1" applyAlignment="1">
      <alignment horizontal="left" vertical="center" wrapText="1"/>
    </xf>
    <xf numFmtId="0" fontId="16" fillId="6" borderId="0" xfId="0" applyNumberFormat="1" applyFont="1" applyFill="1" applyBorder="1" applyAlignment="1">
      <alignment horizontal="left" vertical="center" wrapText="1"/>
    </xf>
    <xf numFmtId="0" fontId="16" fillId="6" borderId="12" xfId="0" applyNumberFormat="1" applyFont="1" applyFill="1" applyBorder="1" applyAlignment="1">
      <alignment horizontal="left" vertical="center" wrapText="1"/>
    </xf>
    <xf numFmtId="0" fontId="16" fillId="6" borderId="13" xfId="0" applyNumberFormat="1" applyFont="1" applyFill="1" applyBorder="1" applyAlignment="1">
      <alignment horizontal="left" vertical="center" wrapText="1"/>
    </xf>
    <xf numFmtId="0" fontId="16" fillId="6" borderId="14" xfId="0" applyNumberFormat="1" applyFont="1" applyFill="1" applyBorder="1" applyAlignment="1">
      <alignment horizontal="left" vertical="center" wrapText="1"/>
    </xf>
    <xf numFmtId="0" fontId="16" fillId="6" borderId="15" xfId="0" applyNumberFormat="1" applyFont="1" applyFill="1" applyBorder="1" applyAlignment="1">
      <alignment horizontal="left" vertical="center" wrapText="1"/>
    </xf>
    <xf numFmtId="0" fontId="16" fillId="6" borderId="1" xfId="0" applyNumberFormat="1" applyFont="1" applyFill="1" applyBorder="1"/>
    <xf numFmtId="0" fontId="16" fillId="6" borderId="16" xfId="0" applyNumberFormat="1" applyFont="1" applyFill="1" applyBorder="1"/>
    <xf numFmtId="0" fontId="16" fillId="6" borderId="17" xfId="0" applyNumberFormat="1" applyFont="1" applyFill="1" applyBorder="1"/>
    <xf numFmtId="0" fontId="16" fillId="6" borderId="18" xfId="0" applyNumberFormat="1" applyFont="1" applyFill="1" applyBorder="1"/>
    <xf numFmtId="0" fontId="16" fillId="6" borderId="19" xfId="0" applyNumberFormat="1" applyFont="1" applyFill="1" applyBorder="1"/>
    <xf numFmtId="0" fontId="16" fillId="6" borderId="20" xfId="0" applyNumberFormat="1" applyFont="1" applyFill="1" applyBorder="1"/>
    <xf numFmtId="0" fontId="16" fillId="6" borderId="21" xfId="0" applyNumberFormat="1" applyFont="1" applyFill="1" applyBorder="1"/>
    <xf numFmtId="0" fontId="16" fillId="6" borderId="22" xfId="0" applyNumberFormat="1" applyFont="1" applyFill="1" applyBorder="1"/>
    <xf numFmtId="0" fontId="16" fillId="6" borderId="23" xfId="0" applyNumberFormat="1" applyFont="1" applyFill="1" applyBorder="1"/>
    <xf numFmtId="0" fontId="16" fillId="6" borderId="16" xfId="0" applyNumberFormat="1" applyFont="1" applyFill="1" applyBorder="1" applyAlignment="1">
      <alignment wrapText="1"/>
    </xf>
    <xf numFmtId="0" fontId="16" fillId="6" borderId="17" xfId="0" applyNumberFormat="1" applyFont="1" applyFill="1" applyBorder="1" applyAlignment="1">
      <alignment wrapText="1"/>
    </xf>
    <xf numFmtId="0" fontId="16" fillId="6" borderId="18" xfId="0" applyNumberFormat="1" applyFont="1" applyFill="1" applyBorder="1" applyAlignment="1">
      <alignment wrapText="1"/>
    </xf>
    <xf numFmtId="0" fontId="16" fillId="6" borderId="19" xfId="0" applyNumberFormat="1" applyFont="1" applyFill="1" applyBorder="1" applyAlignment="1">
      <alignment wrapText="1"/>
    </xf>
    <xf numFmtId="0" fontId="16" fillId="6" borderId="1" xfId="0" applyNumberFormat="1" applyFont="1" applyFill="1" applyBorder="1" applyAlignment="1">
      <alignment wrapText="1"/>
    </xf>
    <xf numFmtId="0" fontId="16" fillId="6" borderId="20" xfId="0" applyNumberFormat="1" applyFont="1" applyFill="1" applyBorder="1" applyAlignment="1">
      <alignment wrapText="1"/>
    </xf>
    <xf numFmtId="0" fontId="16" fillId="6" borderId="21" xfId="0" applyNumberFormat="1" applyFont="1" applyFill="1" applyBorder="1" applyAlignment="1">
      <alignment wrapText="1"/>
    </xf>
    <xf numFmtId="0" fontId="16" fillId="6" borderId="22" xfId="0" applyNumberFormat="1" applyFont="1" applyFill="1" applyBorder="1" applyAlignment="1">
      <alignment wrapText="1"/>
    </xf>
    <xf numFmtId="0" fontId="16" fillId="6" borderId="23" xfId="0" applyNumberFormat="1" applyFont="1" applyFill="1" applyBorder="1" applyAlignment="1">
      <alignment wrapText="1"/>
    </xf>
    <xf numFmtId="0" fontId="16" fillId="6" borderId="16" xfId="0" applyNumberFormat="1" applyFont="1" applyFill="1" applyBorder="1" applyAlignment="1">
      <alignment horizontal="left" wrapText="1"/>
    </xf>
    <xf numFmtId="0" fontId="16" fillId="6" borderId="17" xfId="0" applyNumberFormat="1" applyFont="1" applyFill="1" applyBorder="1" applyAlignment="1">
      <alignment horizontal="left" wrapText="1"/>
    </xf>
    <xf numFmtId="0" fontId="16" fillId="6" borderId="18" xfId="0" applyNumberFormat="1" applyFont="1" applyFill="1" applyBorder="1" applyAlignment="1">
      <alignment horizontal="left" wrapText="1"/>
    </xf>
    <xf numFmtId="0" fontId="16" fillId="6" borderId="19" xfId="0" applyNumberFormat="1" applyFont="1" applyFill="1" applyBorder="1" applyAlignment="1">
      <alignment horizontal="left" wrapText="1"/>
    </xf>
    <xf numFmtId="0" fontId="16" fillId="6" borderId="1" xfId="0" applyNumberFormat="1" applyFont="1" applyFill="1" applyBorder="1" applyAlignment="1">
      <alignment horizontal="left" wrapText="1"/>
    </xf>
    <xf numFmtId="0" fontId="16" fillId="6" borderId="20" xfId="0" applyNumberFormat="1" applyFont="1" applyFill="1" applyBorder="1" applyAlignment="1">
      <alignment horizontal="left" wrapText="1"/>
    </xf>
    <xf numFmtId="0" fontId="16" fillId="6" borderId="21" xfId="0" applyNumberFormat="1" applyFont="1" applyFill="1" applyBorder="1" applyAlignment="1">
      <alignment horizontal="left" wrapText="1"/>
    </xf>
    <xf numFmtId="0" fontId="16" fillId="6" borderId="22" xfId="0" applyNumberFormat="1" applyFont="1" applyFill="1" applyBorder="1" applyAlignment="1">
      <alignment horizontal="left" wrapText="1"/>
    </xf>
    <xf numFmtId="0" fontId="16" fillId="6" borderId="23" xfId="0" applyNumberFormat="1" applyFont="1" applyFill="1" applyBorder="1" applyAlignment="1">
      <alignment horizontal="left" wrapText="1"/>
    </xf>
    <xf numFmtId="0" fontId="16" fillId="6" borderId="16" xfId="0" applyNumberFormat="1" applyFont="1" applyFill="1" applyBorder="1" applyAlignment="1">
      <alignment horizontal="left" vertical="center" wrapText="1"/>
    </xf>
    <xf numFmtId="0" fontId="16" fillId="6" borderId="17" xfId="0" applyNumberFormat="1" applyFont="1" applyFill="1" applyBorder="1" applyAlignment="1">
      <alignment horizontal="left" vertical="center" wrapText="1"/>
    </xf>
    <xf numFmtId="0" fontId="16" fillId="6" borderId="18" xfId="0" applyNumberFormat="1" applyFont="1" applyFill="1" applyBorder="1" applyAlignment="1">
      <alignment horizontal="left" vertical="center" wrapText="1"/>
    </xf>
    <xf numFmtId="0" fontId="16" fillId="6" borderId="19" xfId="0" applyNumberFormat="1" applyFont="1" applyFill="1" applyBorder="1" applyAlignment="1">
      <alignment horizontal="left" vertical="center" wrapText="1"/>
    </xf>
    <xf numFmtId="0" fontId="16" fillId="6" borderId="1" xfId="0" applyNumberFormat="1" applyFont="1" applyFill="1" applyBorder="1" applyAlignment="1">
      <alignment horizontal="left" vertical="center" wrapText="1"/>
    </xf>
    <xf numFmtId="0" fontId="16" fillId="6" borderId="20" xfId="0" applyNumberFormat="1" applyFont="1" applyFill="1" applyBorder="1" applyAlignment="1">
      <alignment horizontal="left" vertical="center" wrapText="1"/>
    </xf>
    <xf numFmtId="0" fontId="16" fillId="6" borderId="21" xfId="0" applyNumberFormat="1" applyFont="1" applyFill="1" applyBorder="1" applyAlignment="1">
      <alignment horizontal="left" vertical="center" wrapText="1"/>
    </xf>
    <xf numFmtId="0" fontId="16" fillId="6" borderId="22" xfId="0" applyNumberFormat="1" applyFont="1" applyFill="1" applyBorder="1" applyAlignment="1">
      <alignment horizontal="left" vertical="center" wrapText="1"/>
    </xf>
    <xf numFmtId="0" fontId="16" fillId="6" borderId="23" xfId="0" applyNumberFormat="1" applyFont="1" applyFill="1" applyBorder="1" applyAlignment="1">
      <alignment horizontal="left" vertical="center" wrapText="1"/>
    </xf>
    <xf numFmtId="0" fontId="5" fillId="6" borderId="0" xfId="0" applyNumberFormat="1" applyFont="1" applyFill="1" applyBorder="1"/>
    <xf numFmtId="0" fontId="5" fillId="6" borderId="8" xfId="0" applyNumberFormat="1" applyFont="1" applyFill="1" applyBorder="1"/>
    <xf numFmtId="0" fontId="5" fillId="6" borderId="9" xfId="0" applyNumberFormat="1" applyFont="1" applyFill="1" applyBorder="1"/>
    <xf numFmtId="0" fontId="5" fillId="6" borderId="10" xfId="0" applyNumberFormat="1" applyFont="1" applyFill="1" applyBorder="1"/>
    <xf numFmtId="0" fontId="5" fillId="6" borderId="11" xfId="0" applyNumberFormat="1" applyFont="1" applyFill="1" applyBorder="1"/>
    <xf numFmtId="0" fontId="5" fillId="6" borderId="12" xfId="0" applyNumberFormat="1" applyFont="1" applyFill="1" applyBorder="1"/>
    <xf numFmtId="0" fontId="5" fillId="6" borderId="13" xfId="0" applyNumberFormat="1" applyFont="1" applyFill="1" applyBorder="1"/>
    <xf numFmtId="0" fontId="5" fillId="6" borderId="14" xfId="0" applyNumberFormat="1" applyFont="1" applyFill="1" applyBorder="1"/>
    <xf numFmtId="0" fontId="5" fillId="6" borderId="15" xfId="0" applyNumberFormat="1" applyFont="1" applyFill="1" applyBorder="1"/>
    <xf numFmtId="0" fontId="5" fillId="6" borderId="8" xfId="0" applyNumberFormat="1" applyFont="1" applyFill="1" applyBorder="1" applyAlignment="1">
      <alignment wrapText="1"/>
    </xf>
    <xf numFmtId="0" fontId="5" fillId="6" borderId="9" xfId="0" applyNumberFormat="1" applyFont="1" applyFill="1" applyBorder="1" applyAlignment="1">
      <alignment wrapText="1"/>
    </xf>
    <xf numFmtId="0" fontId="5" fillId="6" borderId="10" xfId="0" applyNumberFormat="1" applyFont="1" applyFill="1" applyBorder="1" applyAlignment="1">
      <alignment wrapText="1"/>
    </xf>
    <xf numFmtId="0" fontId="5" fillId="6" borderId="11" xfId="0" applyNumberFormat="1" applyFont="1" applyFill="1" applyBorder="1" applyAlignment="1">
      <alignment wrapText="1"/>
    </xf>
    <xf numFmtId="0" fontId="5" fillId="6" borderId="0" xfId="0" applyNumberFormat="1" applyFont="1" applyFill="1" applyBorder="1" applyAlignment="1">
      <alignment wrapText="1"/>
    </xf>
    <xf numFmtId="0" fontId="5" fillId="6" borderId="12" xfId="0" applyNumberFormat="1" applyFont="1" applyFill="1" applyBorder="1" applyAlignment="1">
      <alignment wrapText="1"/>
    </xf>
    <xf numFmtId="0" fontId="5" fillId="6" borderId="13" xfId="0" applyNumberFormat="1" applyFont="1" applyFill="1" applyBorder="1" applyAlignment="1">
      <alignment wrapText="1"/>
    </xf>
    <xf numFmtId="0" fontId="5" fillId="6" borderId="14" xfId="0" applyNumberFormat="1" applyFont="1" applyFill="1" applyBorder="1" applyAlignment="1">
      <alignment wrapText="1"/>
    </xf>
    <xf numFmtId="0" fontId="5" fillId="6" borderId="15" xfId="0" applyNumberFormat="1" applyFont="1" applyFill="1" applyBorder="1" applyAlignment="1">
      <alignment wrapText="1"/>
    </xf>
    <xf numFmtId="0" fontId="5" fillId="6" borderId="8" xfId="0" applyNumberFormat="1" applyFont="1" applyFill="1" applyBorder="1" applyAlignment="1">
      <alignment horizontal="center" wrapText="1"/>
    </xf>
    <xf numFmtId="0" fontId="5" fillId="6" borderId="9" xfId="0" applyNumberFormat="1" applyFont="1" applyFill="1" applyBorder="1" applyAlignment="1">
      <alignment horizontal="center" wrapText="1"/>
    </xf>
    <xf numFmtId="0" fontId="5" fillId="6" borderId="10" xfId="0" applyNumberFormat="1" applyFont="1" applyFill="1" applyBorder="1" applyAlignment="1">
      <alignment horizontal="center" wrapText="1"/>
    </xf>
    <xf numFmtId="0" fontId="5" fillId="6" borderId="11" xfId="0" applyNumberFormat="1" applyFont="1" applyFill="1" applyBorder="1" applyAlignment="1">
      <alignment horizontal="center" wrapText="1"/>
    </xf>
    <xf numFmtId="0" fontId="5" fillId="6" borderId="0" xfId="0" applyNumberFormat="1" applyFont="1" applyFill="1" applyBorder="1" applyAlignment="1">
      <alignment horizontal="center" wrapText="1"/>
    </xf>
    <xf numFmtId="0" fontId="5" fillId="6" borderId="12" xfId="0" applyNumberFormat="1" applyFont="1" applyFill="1" applyBorder="1" applyAlignment="1">
      <alignment horizontal="center" wrapText="1"/>
    </xf>
    <xf numFmtId="0" fontId="5" fillId="6" borderId="13" xfId="0" applyNumberFormat="1" applyFont="1" applyFill="1" applyBorder="1" applyAlignment="1">
      <alignment horizontal="center" wrapText="1"/>
    </xf>
    <xf numFmtId="0" fontId="5" fillId="6" borderId="14" xfId="0" applyNumberFormat="1" applyFont="1" applyFill="1" applyBorder="1" applyAlignment="1">
      <alignment horizontal="center" wrapText="1"/>
    </xf>
    <xf numFmtId="0" fontId="5" fillId="6" borderId="15" xfId="0" applyNumberFormat="1" applyFont="1" applyFill="1" applyBorder="1" applyAlignment="1">
      <alignment horizontal="center" wrapText="1"/>
    </xf>
    <xf numFmtId="0" fontId="5" fillId="6" borderId="8" xfId="0" applyNumberFormat="1" applyFont="1" applyFill="1" applyBorder="1" applyAlignment="1">
      <alignment horizontal="center" vertical="center" wrapText="1"/>
    </xf>
    <xf numFmtId="0" fontId="5" fillId="6" borderId="9" xfId="0" applyNumberFormat="1" applyFont="1" applyFill="1" applyBorder="1" applyAlignment="1">
      <alignment horizontal="center" vertical="center" wrapText="1"/>
    </xf>
    <xf numFmtId="0" fontId="5" fillId="6" borderId="10" xfId="0" applyNumberFormat="1" applyFont="1" applyFill="1" applyBorder="1" applyAlignment="1">
      <alignment horizontal="center" vertical="center" wrapText="1"/>
    </xf>
    <xf numFmtId="0" fontId="5" fillId="6" borderId="11" xfId="0" applyNumberFormat="1" applyFont="1" applyFill="1" applyBorder="1" applyAlignment="1">
      <alignment horizontal="center"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5" fillId="6" borderId="12" xfId="0" applyNumberFormat="1" applyFont="1" applyFill="1" applyBorder="1" applyAlignment="1">
      <alignment horizontal="center" vertical="center" wrapText="1"/>
    </xf>
    <xf numFmtId="0" fontId="5" fillId="6" borderId="13" xfId="0" applyNumberFormat="1" applyFont="1" applyFill="1" applyBorder="1" applyAlignment="1">
      <alignment horizontal="center" vertical="center" wrapText="1"/>
    </xf>
    <xf numFmtId="0" fontId="5" fillId="6" borderId="14" xfId="0" applyNumberFormat="1" applyFont="1" applyFill="1" applyBorder="1" applyAlignment="1">
      <alignment horizontal="center" vertical="center" wrapText="1"/>
    </xf>
    <xf numFmtId="0" fontId="5" fillId="6" borderId="15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/>
    <xf numFmtId="0" fontId="5" fillId="6" borderId="16" xfId="0" applyNumberFormat="1" applyFont="1" applyFill="1" applyBorder="1"/>
    <xf numFmtId="0" fontId="5" fillId="6" borderId="17" xfId="0" applyNumberFormat="1" applyFont="1" applyFill="1" applyBorder="1"/>
    <xf numFmtId="0" fontId="5" fillId="6" borderId="18" xfId="0" applyNumberFormat="1" applyFont="1" applyFill="1" applyBorder="1"/>
    <xf numFmtId="0" fontId="5" fillId="6" borderId="19" xfId="0" applyNumberFormat="1" applyFont="1" applyFill="1" applyBorder="1"/>
    <xf numFmtId="0" fontId="5" fillId="6" borderId="20" xfId="0" applyNumberFormat="1" applyFont="1" applyFill="1" applyBorder="1"/>
    <xf numFmtId="0" fontId="5" fillId="6" borderId="21" xfId="0" applyNumberFormat="1" applyFont="1" applyFill="1" applyBorder="1"/>
    <xf numFmtId="0" fontId="5" fillId="6" borderId="22" xfId="0" applyNumberFormat="1" applyFont="1" applyFill="1" applyBorder="1"/>
    <xf numFmtId="0" fontId="5" fillId="6" borderId="23" xfId="0" applyNumberFormat="1" applyFont="1" applyFill="1" applyBorder="1"/>
    <xf numFmtId="0" fontId="5" fillId="6" borderId="16" xfId="0" applyNumberFormat="1" applyFont="1" applyFill="1" applyBorder="1" applyAlignment="1">
      <alignment wrapText="1"/>
    </xf>
    <xf numFmtId="0" fontId="5" fillId="6" borderId="17" xfId="0" applyNumberFormat="1" applyFont="1" applyFill="1" applyBorder="1" applyAlignment="1">
      <alignment wrapText="1"/>
    </xf>
    <xf numFmtId="0" fontId="5" fillId="6" borderId="18" xfId="0" applyNumberFormat="1" applyFont="1" applyFill="1" applyBorder="1" applyAlignment="1">
      <alignment wrapText="1"/>
    </xf>
    <xf numFmtId="0" fontId="5" fillId="6" borderId="19" xfId="0" applyNumberFormat="1" applyFont="1" applyFill="1" applyBorder="1" applyAlignment="1">
      <alignment wrapText="1"/>
    </xf>
    <xf numFmtId="0" fontId="5" fillId="6" borderId="1" xfId="0" applyNumberFormat="1" applyFont="1" applyFill="1" applyBorder="1" applyAlignment="1">
      <alignment wrapText="1"/>
    </xf>
    <xf numFmtId="0" fontId="5" fillId="6" borderId="20" xfId="0" applyNumberFormat="1" applyFont="1" applyFill="1" applyBorder="1" applyAlignment="1">
      <alignment wrapText="1"/>
    </xf>
    <xf numFmtId="0" fontId="5" fillId="6" borderId="21" xfId="0" applyNumberFormat="1" applyFont="1" applyFill="1" applyBorder="1" applyAlignment="1">
      <alignment wrapText="1"/>
    </xf>
    <xf numFmtId="0" fontId="5" fillId="6" borderId="22" xfId="0" applyNumberFormat="1" applyFont="1" applyFill="1" applyBorder="1" applyAlignment="1">
      <alignment wrapText="1"/>
    </xf>
    <xf numFmtId="0" fontId="5" fillId="6" borderId="23" xfId="0" applyNumberFormat="1" applyFont="1" applyFill="1" applyBorder="1" applyAlignment="1">
      <alignment wrapText="1"/>
    </xf>
    <xf numFmtId="0" fontId="5" fillId="6" borderId="16" xfId="0" applyNumberFormat="1" applyFont="1" applyFill="1" applyBorder="1" applyAlignment="1">
      <alignment horizontal="center" wrapText="1"/>
    </xf>
    <xf numFmtId="0" fontId="5" fillId="6" borderId="17" xfId="0" applyNumberFormat="1" applyFont="1" applyFill="1" applyBorder="1" applyAlignment="1">
      <alignment horizontal="center" wrapText="1"/>
    </xf>
    <xf numFmtId="0" fontId="5" fillId="6" borderId="18" xfId="0" applyNumberFormat="1" applyFont="1" applyFill="1" applyBorder="1" applyAlignment="1">
      <alignment horizontal="center" wrapText="1"/>
    </xf>
    <xf numFmtId="0" fontId="5" fillId="6" borderId="19" xfId="0" applyNumberFormat="1" applyFont="1" applyFill="1" applyBorder="1" applyAlignment="1">
      <alignment horizontal="center" wrapText="1"/>
    </xf>
    <xf numFmtId="0" fontId="5" fillId="6" borderId="1" xfId="0" applyNumberFormat="1" applyFont="1" applyFill="1" applyBorder="1" applyAlignment="1">
      <alignment horizontal="center" wrapText="1"/>
    </xf>
    <xf numFmtId="0" fontId="5" fillId="6" borderId="20" xfId="0" applyNumberFormat="1" applyFont="1" applyFill="1" applyBorder="1" applyAlignment="1">
      <alignment horizontal="center" wrapText="1"/>
    </xf>
    <xf numFmtId="0" fontId="5" fillId="6" borderId="21" xfId="0" applyNumberFormat="1" applyFont="1" applyFill="1" applyBorder="1" applyAlignment="1">
      <alignment horizontal="center" wrapText="1"/>
    </xf>
    <xf numFmtId="0" fontId="5" fillId="6" borderId="22" xfId="0" applyNumberFormat="1" applyFont="1" applyFill="1" applyBorder="1" applyAlignment="1">
      <alignment horizontal="center" wrapText="1"/>
    </xf>
    <xf numFmtId="0" fontId="5" fillId="6" borderId="23" xfId="0" applyNumberFormat="1" applyFont="1" applyFill="1" applyBorder="1" applyAlignment="1">
      <alignment horizontal="center" wrapText="1"/>
    </xf>
    <xf numFmtId="0" fontId="5" fillId="6" borderId="16" xfId="0" applyNumberFormat="1" applyFont="1" applyFill="1" applyBorder="1" applyAlignment="1">
      <alignment horizontal="center" vertical="center" wrapText="1"/>
    </xf>
    <xf numFmtId="0" fontId="5" fillId="6" borderId="17" xfId="0" applyNumberFormat="1" applyFont="1" applyFill="1" applyBorder="1" applyAlignment="1">
      <alignment horizontal="center" vertical="center" wrapText="1"/>
    </xf>
    <xf numFmtId="0" fontId="5" fillId="6" borderId="18" xfId="0" applyNumberFormat="1" applyFont="1" applyFill="1" applyBorder="1" applyAlignment="1">
      <alignment horizontal="center" vertical="center" wrapText="1"/>
    </xf>
    <xf numFmtId="0" fontId="5" fillId="6" borderId="19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20" xfId="0" applyNumberFormat="1" applyFont="1" applyFill="1" applyBorder="1" applyAlignment="1">
      <alignment horizontal="center" vertical="center" wrapText="1"/>
    </xf>
    <xf numFmtId="0" fontId="5" fillId="6" borderId="21" xfId="0" applyNumberFormat="1" applyFont="1" applyFill="1" applyBorder="1" applyAlignment="1">
      <alignment horizontal="center" vertical="center" wrapText="1"/>
    </xf>
    <xf numFmtId="0" fontId="5" fillId="6" borderId="22" xfId="0" applyNumberFormat="1" applyFont="1" applyFill="1" applyBorder="1" applyAlignment="1">
      <alignment horizontal="center" vertical="center" wrapText="1"/>
    </xf>
    <xf numFmtId="0" fontId="5" fillId="6" borderId="23" xfId="0" applyNumberFormat="1" applyFont="1" applyFill="1" applyBorder="1" applyAlignment="1">
      <alignment horizontal="center" vertical="center" wrapText="1"/>
    </xf>
    <xf numFmtId="0" fontId="17" fillId="6" borderId="0" xfId="0" applyNumberFormat="1" applyFont="1" applyFill="1" applyBorder="1"/>
    <xf numFmtId="0" fontId="17" fillId="6" borderId="8" xfId="0" applyNumberFormat="1" applyFont="1" applyFill="1" applyBorder="1"/>
    <xf numFmtId="0" fontId="17" fillId="6" borderId="9" xfId="0" applyNumberFormat="1" applyFont="1" applyFill="1" applyBorder="1"/>
    <xf numFmtId="0" fontId="17" fillId="6" borderId="10" xfId="0" applyNumberFormat="1" applyFont="1" applyFill="1" applyBorder="1"/>
    <xf numFmtId="0" fontId="17" fillId="6" borderId="11" xfId="0" applyNumberFormat="1" applyFont="1" applyFill="1" applyBorder="1"/>
    <xf numFmtId="0" fontId="17" fillId="6" borderId="12" xfId="0" applyNumberFormat="1" applyFont="1" applyFill="1" applyBorder="1"/>
    <xf numFmtId="0" fontId="17" fillId="6" borderId="13" xfId="0" applyNumberFormat="1" applyFont="1" applyFill="1" applyBorder="1"/>
    <xf numFmtId="0" fontId="17" fillId="6" borderId="14" xfId="0" applyNumberFormat="1" applyFont="1" applyFill="1" applyBorder="1"/>
    <xf numFmtId="0" fontId="17" fillId="6" borderId="15" xfId="0" applyNumberFormat="1" applyFont="1" applyFill="1" applyBorder="1"/>
    <xf numFmtId="0" fontId="17" fillId="6" borderId="8" xfId="0" applyNumberFormat="1" applyFont="1" applyFill="1" applyBorder="1" applyAlignment="1">
      <alignment wrapText="1"/>
    </xf>
    <xf numFmtId="0" fontId="17" fillId="6" borderId="9" xfId="0" applyNumberFormat="1" applyFont="1" applyFill="1" applyBorder="1" applyAlignment="1">
      <alignment wrapText="1"/>
    </xf>
    <xf numFmtId="0" fontId="17" fillId="6" borderId="10" xfId="0" applyNumberFormat="1" applyFont="1" applyFill="1" applyBorder="1" applyAlignment="1">
      <alignment wrapText="1"/>
    </xf>
    <xf numFmtId="0" fontId="17" fillId="6" borderId="11" xfId="0" applyNumberFormat="1" applyFont="1" applyFill="1" applyBorder="1" applyAlignment="1">
      <alignment wrapText="1"/>
    </xf>
    <xf numFmtId="0" fontId="17" fillId="6" borderId="0" xfId="0" applyNumberFormat="1" applyFont="1" applyFill="1" applyBorder="1" applyAlignment="1">
      <alignment wrapText="1"/>
    </xf>
    <xf numFmtId="0" fontId="17" fillId="6" borderId="12" xfId="0" applyNumberFormat="1" applyFont="1" applyFill="1" applyBorder="1" applyAlignment="1">
      <alignment wrapText="1"/>
    </xf>
    <xf numFmtId="0" fontId="17" fillId="6" borderId="13" xfId="0" applyNumberFormat="1" applyFont="1" applyFill="1" applyBorder="1" applyAlignment="1">
      <alignment wrapText="1"/>
    </xf>
    <xf numFmtId="0" fontId="17" fillId="6" borderId="14" xfId="0" applyNumberFormat="1" applyFont="1" applyFill="1" applyBorder="1" applyAlignment="1">
      <alignment wrapText="1"/>
    </xf>
    <xf numFmtId="0" fontId="17" fillId="6" borderId="15" xfId="0" applyNumberFormat="1" applyFont="1" applyFill="1" applyBorder="1" applyAlignment="1">
      <alignment wrapText="1"/>
    </xf>
    <xf numFmtId="0" fontId="17" fillId="6" borderId="8" xfId="0" applyNumberFormat="1" applyFont="1" applyFill="1" applyBorder="1" applyAlignment="1">
      <alignment horizontal="left" wrapText="1"/>
    </xf>
    <xf numFmtId="0" fontId="17" fillId="6" borderId="9" xfId="0" applyNumberFormat="1" applyFont="1" applyFill="1" applyBorder="1" applyAlignment="1">
      <alignment horizontal="left" wrapText="1"/>
    </xf>
    <xf numFmtId="0" fontId="17" fillId="6" borderId="10" xfId="0" applyNumberFormat="1" applyFont="1" applyFill="1" applyBorder="1" applyAlignment="1">
      <alignment horizontal="left" wrapText="1"/>
    </xf>
    <xf numFmtId="0" fontId="17" fillId="6" borderId="11" xfId="0" applyNumberFormat="1" applyFont="1" applyFill="1" applyBorder="1" applyAlignment="1">
      <alignment horizontal="left" wrapText="1"/>
    </xf>
    <xf numFmtId="0" fontId="17" fillId="6" borderId="0" xfId="0" applyNumberFormat="1" applyFont="1" applyFill="1" applyBorder="1" applyAlignment="1">
      <alignment horizontal="left" wrapText="1"/>
    </xf>
    <xf numFmtId="0" fontId="17" fillId="6" borderId="12" xfId="0" applyNumberFormat="1" applyFont="1" applyFill="1" applyBorder="1" applyAlignment="1">
      <alignment horizontal="left" wrapText="1"/>
    </xf>
    <xf numFmtId="0" fontId="17" fillId="6" borderId="13" xfId="0" applyNumberFormat="1" applyFont="1" applyFill="1" applyBorder="1" applyAlignment="1">
      <alignment horizontal="left" wrapText="1"/>
    </xf>
    <xf numFmtId="0" fontId="17" fillId="6" borderId="14" xfId="0" applyNumberFormat="1" applyFont="1" applyFill="1" applyBorder="1" applyAlignment="1">
      <alignment horizontal="left" wrapText="1"/>
    </xf>
    <xf numFmtId="0" fontId="17" fillId="6" borderId="15" xfId="0" applyNumberFormat="1" applyFont="1" applyFill="1" applyBorder="1" applyAlignment="1">
      <alignment horizontal="left" wrapText="1"/>
    </xf>
    <xf numFmtId="0" fontId="17" fillId="6" borderId="8" xfId="0" applyNumberFormat="1" applyFont="1" applyFill="1" applyBorder="1" applyAlignment="1">
      <alignment horizontal="left" vertical="center" wrapText="1"/>
    </xf>
    <xf numFmtId="0" fontId="17" fillId="6" borderId="9" xfId="0" applyNumberFormat="1" applyFont="1" applyFill="1" applyBorder="1" applyAlignment="1">
      <alignment horizontal="left" vertical="center" wrapText="1"/>
    </xf>
    <xf numFmtId="0" fontId="17" fillId="6" borderId="10" xfId="0" applyNumberFormat="1" applyFont="1" applyFill="1" applyBorder="1" applyAlignment="1">
      <alignment horizontal="left" vertical="center" wrapText="1"/>
    </xf>
    <xf numFmtId="0" fontId="17" fillId="6" borderId="11" xfId="0" applyNumberFormat="1" applyFont="1" applyFill="1" applyBorder="1" applyAlignment="1">
      <alignment horizontal="left" vertical="center" wrapText="1"/>
    </xf>
    <xf numFmtId="0" fontId="17" fillId="6" borderId="0" xfId="0" applyNumberFormat="1" applyFont="1" applyFill="1" applyBorder="1" applyAlignment="1">
      <alignment horizontal="left" vertical="center" wrapText="1"/>
    </xf>
    <xf numFmtId="0" fontId="17" fillId="6" borderId="12" xfId="0" applyNumberFormat="1" applyFont="1" applyFill="1" applyBorder="1" applyAlignment="1">
      <alignment horizontal="left" vertical="center" wrapText="1"/>
    </xf>
    <xf numFmtId="0" fontId="17" fillId="6" borderId="13" xfId="0" applyNumberFormat="1" applyFont="1" applyFill="1" applyBorder="1" applyAlignment="1">
      <alignment horizontal="left" vertical="center" wrapText="1"/>
    </xf>
    <xf numFmtId="0" fontId="17" fillId="6" borderId="14" xfId="0" applyNumberFormat="1" applyFont="1" applyFill="1" applyBorder="1" applyAlignment="1">
      <alignment horizontal="left" vertical="center" wrapText="1"/>
    </xf>
    <xf numFmtId="0" fontId="17" fillId="6" borderId="15" xfId="0" applyNumberFormat="1" applyFont="1" applyFill="1" applyBorder="1" applyAlignment="1">
      <alignment horizontal="left" vertical="center" wrapText="1"/>
    </xf>
    <xf numFmtId="0" fontId="17" fillId="6" borderId="1" xfId="0" applyNumberFormat="1" applyFont="1" applyFill="1" applyBorder="1"/>
    <xf numFmtId="0" fontId="17" fillId="6" borderId="16" xfId="0" applyNumberFormat="1" applyFont="1" applyFill="1" applyBorder="1"/>
    <xf numFmtId="0" fontId="17" fillId="6" borderId="17" xfId="0" applyNumberFormat="1" applyFont="1" applyFill="1" applyBorder="1"/>
    <xf numFmtId="0" fontId="17" fillId="6" borderId="18" xfId="0" applyNumberFormat="1" applyFont="1" applyFill="1" applyBorder="1"/>
    <xf numFmtId="0" fontId="17" fillId="6" borderId="19" xfId="0" applyNumberFormat="1" applyFont="1" applyFill="1" applyBorder="1"/>
    <xf numFmtId="0" fontId="17" fillId="6" borderId="20" xfId="0" applyNumberFormat="1" applyFont="1" applyFill="1" applyBorder="1"/>
    <xf numFmtId="0" fontId="17" fillId="6" borderId="21" xfId="0" applyNumberFormat="1" applyFont="1" applyFill="1" applyBorder="1"/>
    <xf numFmtId="0" fontId="17" fillId="6" borderId="22" xfId="0" applyNumberFormat="1" applyFont="1" applyFill="1" applyBorder="1"/>
    <xf numFmtId="0" fontId="17" fillId="6" borderId="23" xfId="0" applyNumberFormat="1" applyFont="1" applyFill="1" applyBorder="1"/>
    <xf numFmtId="0" fontId="17" fillId="6" borderId="16" xfId="0" applyNumberFormat="1" applyFont="1" applyFill="1" applyBorder="1" applyAlignment="1">
      <alignment wrapText="1"/>
    </xf>
    <xf numFmtId="0" fontId="17" fillId="6" borderId="17" xfId="0" applyNumberFormat="1" applyFont="1" applyFill="1" applyBorder="1" applyAlignment="1">
      <alignment wrapText="1"/>
    </xf>
    <xf numFmtId="0" fontId="17" fillId="6" borderId="18" xfId="0" applyNumberFormat="1" applyFont="1" applyFill="1" applyBorder="1" applyAlignment="1">
      <alignment wrapText="1"/>
    </xf>
    <xf numFmtId="0" fontId="17" fillId="6" borderId="19" xfId="0" applyNumberFormat="1" applyFont="1" applyFill="1" applyBorder="1" applyAlignment="1">
      <alignment wrapText="1"/>
    </xf>
    <xf numFmtId="0" fontId="17" fillId="6" borderId="1" xfId="0" applyNumberFormat="1" applyFont="1" applyFill="1" applyBorder="1" applyAlignment="1">
      <alignment wrapText="1"/>
    </xf>
    <xf numFmtId="0" fontId="17" fillId="6" borderId="20" xfId="0" applyNumberFormat="1" applyFont="1" applyFill="1" applyBorder="1" applyAlignment="1">
      <alignment wrapText="1"/>
    </xf>
    <xf numFmtId="0" fontId="17" fillId="6" borderId="21" xfId="0" applyNumberFormat="1" applyFont="1" applyFill="1" applyBorder="1" applyAlignment="1">
      <alignment wrapText="1"/>
    </xf>
    <xf numFmtId="0" fontId="17" fillId="6" borderId="22" xfId="0" applyNumberFormat="1" applyFont="1" applyFill="1" applyBorder="1" applyAlignment="1">
      <alignment wrapText="1"/>
    </xf>
    <xf numFmtId="0" fontId="17" fillId="6" borderId="23" xfId="0" applyNumberFormat="1" applyFont="1" applyFill="1" applyBorder="1" applyAlignment="1">
      <alignment wrapText="1"/>
    </xf>
    <xf numFmtId="0" fontId="17" fillId="6" borderId="16" xfId="0" applyNumberFormat="1" applyFont="1" applyFill="1" applyBorder="1" applyAlignment="1">
      <alignment horizontal="left" wrapText="1"/>
    </xf>
    <xf numFmtId="0" fontId="17" fillId="6" borderId="17" xfId="0" applyNumberFormat="1" applyFont="1" applyFill="1" applyBorder="1" applyAlignment="1">
      <alignment horizontal="left" wrapText="1"/>
    </xf>
    <xf numFmtId="0" fontId="17" fillId="6" borderId="18" xfId="0" applyNumberFormat="1" applyFont="1" applyFill="1" applyBorder="1" applyAlignment="1">
      <alignment horizontal="left" wrapText="1"/>
    </xf>
    <xf numFmtId="0" fontId="17" fillId="6" borderId="19" xfId="0" applyNumberFormat="1" applyFont="1" applyFill="1" applyBorder="1" applyAlignment="1">
      <alignment horizontal="left" wrapText="1"/>
    </xf>
    <xf numFmtId="0" fontId="17" fillId="6" borderId="1" xfId="0" applyNumberFormat="1" applyFont="1" applyFill="1" applyBorder="1" applyAlignment="1">
      <alignment horizontal="left" wrapText="1"/>
    </xf>
    <xf numFmtId="0" fontId="17" fillId="6" borderId="20" xfId="0" applyNumberFormat="1" applyFont="1" applyFill="1" applyBorder="1" applyAlignment="1">
      <alignment horizontal="left" wrapText="1"/>
    </xf>
    <xf numFmtId="0" fontId="17" fillId="6" borderId="21" xfId="0" applyNumberFormat="1" applyFont="1" applyFill="1" applyBorder="1" applyAlignment="1">
      <alignment horizontal="left" wrapText="1"/>
    </xf>
    <xf numFmtId="0" fontId="17" fillId="6" borderId="22" xfId="0" applyNumberFormat="1" applyFont="1" applyFill="1" applyBorder="1" applyAlignment="1">
      <alignment horizontal="left" wrapText="1"/>
    </xf>
    <xf numFmtId="0" fontId="17" fillId="6" borderId="23" xfId="0" applyNumberFormat="1" applyFont="1" applyFill="1" applyBorder="1" applyAlignment="1">
      <alignment horizontal="left" wrapText="1"/>
    </xf>
    <xf numFmtId="0" fontId="17" fillId="6" borderId="16" xfId="0" applyNumberFormat="1" applyFont="1" applyFill="1" applyBorder="1" applyAlignment="1">
      <alignment horizontal="left" vertical="center" wrapText="1"/>
    </xf>
    <xf numFmtId="0" fontId="17" fillId="6" borderId="17" xfId="0" applyNumberFormat="1" applyFont="1" applyFill="1" applyBorder="1" applyAlignment="1">
      <alignment horizontal="left" vertical="center" wrapText="1"/>
    </xf>
    <xf numFmtId="0" fontId="17" fillId="6" borderId="18" xfId="0" applyNumberFormat="1" applyFont="1" applyFill="1" applyBorder="1" applyAlignment="1">
      <alignment horizontal="left" vertical="center" wrapText="1"/>
    </xf>
    <xf numFmtId="0" fontId="17" fillId="6" borderId="19" xfId="0" applyNumberFormat="1" applyFont="1" applyFill="1" applyBorder="1" applyAlignment="1">
      <alignment horizontal="left" vertical="center" wrapText="1"/>
    </xf>
    <xf numFmtId="0" fontId="17" fillId="6" borderId="1" xfId="0" applyNumberFormat="1" applyFont="1" applyFill="1" applyBorder="1" applyAlignment="1">
      <alignment horizontal="left" vertical="center" wrapText="1"/>
    </xf>
    <xf numFmtId="0" fontId="17" fillId="6" borderId="20" xfId="0" applyNumberFormat="1" applyFont="1" applyFill="1" applyBorder="1" applyAlignment="1">
      <alignment horizontal="left" vertical="center" wrapText="1"/>
    </xf>
    <xf numFmtId="0" fontId="17" fillId="6" borderId="21" xfId="0" applyNumberFormat="1" applyFont="1" applyFill="1" applyBorder="1" applyAlignment="1">
      <alignment horizontal="left" vertical="center" wrapText="1"/>
    </xf>
    <xf numFmtId="0" fontId="17" fillId="6" borderId="22" xfId="0" applyNumberFormat="1" applyFont="1" applyFill="1" applyBorder="1" applyAlignment="1">
      <alignment horizontal="left" vertical="center" wrapText="1"/>
    </xf>
    <xf numFmtId="0" fontId="17" fillId="6" borderId="23" xfId="0" applyNumberFormat="1" applyFont="1" applyFill="1" applyBorder="1" applyAlignment="1">
      <alignment horizontal="left" vertical="center" wrapText="1"/>
    </xf>
    <xf numFmtId="0" fontId="18" fillId="5" borderId="0" xfId="0" applyNumberFormat="1" applyFont="1" applyFill="1" applyBorder="1"/>
    <xf numFmtId="0" fontId="18" fillId="5" borderId="2" xfId="0" applyNumberFormat="1" applyFont="1" applyFill="1" applyBorder="1"/>
    <xf numFmtId="0" fontId="18" fillId="5" borderId="4" xfId="0" applyNumberFormat="1" applyFont="1" applyFill="1" applyBorder="1"/>
    <xf numFmtId="0" fontId="18" fillId="5" borderId="2" xfId="0" applyNumberFormat="1" applyFont="1" applyFill="1" applyBorder="1" applyAlignment="1">
      <alignment wrapText="1"/>
    </xf>
    <xf numFmtId="0" fontId="18" fillId="5" borderId="4" xfId="0" applyNumberFormat="1" applyFont="1" applyFill="1" applyBorder="1" applyAlignment="1">
      <alignment wrapText="1"/>
    </xf>
    <xf numFmtId="0" fontId="18" fillId="5" borderId="2" xfId="0" applyNumberFormat="1" applyFont="1" applyFill="1" applyBorder="1" applyAlignment="1">
      <alignment horizontal="center" wrapText="1"/>
    </xf>
    <xf numFmtId="0" fontId="18" fillId="5" borderId="4" xfId="0" applyNumberFormat="1" applyFont="1" applyFill="1" applyBorder="1" applyAlignment="1">
      <alignment horizontal="center" wrapText="1"/>
    </xf>
    <xf numFmtId="0" fontId="18" fillId="5" borderId="2" xfId="0" applyNumberFormat="1" applyFont="1" applyFill="1" applyBorder="1" applyAlignment="1">
      <alignment horizontal="center" vertical="center" wrapText="1"/>
    </xf>
    <xf numFmtId="0" fontId="18" fillId="5" borderId="4" xfId="0" applyNumberFormat="1" applyFont="1" applyFill="1" applyBorder="1" applyAlignment="1">
      <alignment horizontal="center" vertical="center" wrapText="1"/>
    </xf>
    <xf numFmtId="0" fontId="18" fillId="5" borderId="1" xfId="0" applyNumberFormat="1" applyFont="1" applyFill="1" applyBorder="1"/>
    <xf numFmtId="0" fontId="18" fillId="5" borderId="5" xfId="0" applyNumberFormat="1" applyFont="1" applyFill="1" applyBorder="1"/>
    <xf numFmtId="0" fontId="18" fillId="5" borderId="7" xfId="0" applyNumberFormat="1" applyFont="1" applyFill="1" applyBorder="1"/>
    <xf numFmtId="0" fontId="18" fillId="5" borderId="5" xfId="0" applyNumberFormat="1" applyFont="1" applyFill="1" applyBorder="1" applyAlignment="1">
      <alignment wrapText="1"/>
    </xf>
    <xf numFmtId="0" fontId="18" fillId="5" borderId="7" xfId="0" applyNumberFormat="1" applyFont="1" applyFill="1" applyBorder="1" applyAlignment="1">
      <alignment wrapText="1"/>
    </xf>
    <xf numFmtId="0" fontId="18" fillId="5" borderId="5" xfId="0" applyNumberFormat="1" applyFont="1" applyFill="1" applyBorder="1" applyAlignment="1">
      <alignment horizontal="center" wrapText="1"/>
    </xf>
    <xf numFmtId="0" fontId="18" fillId="5" borderId="7" xfId="0" applyNumberFormat="1" applyFont="1" applyFill="1" applyBorder="1" applyAlignment="1">
      <alignment horizontal="center" wrapText="1"/>
    </xf>
    <xf numFmtId="0" fontId="18" fillId="5" borderId="5" xfId="0" applyNumberFormat="1" applyFont="1" applyFill="1" applyBorder="1" applyAlignment="1">
      <alignment horizontal="center" vertical="center" wrapText="1"/>
    </xf>
    <xf numFmtId="0" fontId="18" fillId="5" borderId="7" xfId="0" applyNumberFormat="1" applyFont="1" applyFill="1" applyBorder="1" applyAlignment="1">
      <alignment horizontal="center" vertical="center" wrapText="1"/>
    </xf>
    <xf numFmtId="0" fontId="18" fillId="5" borderId="3" xfId="0" applyNumberFormat="1" applyFont="1" applyFill="1" applyBorder="1"/>
    <xf numFmtId="0" fontId="18" fillId="5" borderId="3" xfId="0" applyNumberFormat="1" applyFont="1" applyFill="1" applyBorder="1" applyAlignment="1">
      <alignment wrapText="1"/>
    </xf>
    <xf numFmtId="0" fontId="18" fillId="5" borderId="2" xfId="0" applyNumberFormat="1" applyFont="1" applyFill="1" applyBorder="1" applyAlignment="1">
      <alignment horizontal="left" wrapText="1"/>
    </xf>
    <xf numFmtId="0" fontId="18" fillId="5" borderId="3" xfId="0" applyNumberFormat="1" applyFont="1" applyFill="1" applyBorder="1" applyAlignment="1">
      <alignment horizontal="left" wrapText="1"/>
    </xf>
    <xf numFmtId="0" fontId="18" fillId="5" borderId="4" xfId="0" applyNumberFormat="1" applyFont="1" applyFill="1" applyBorder="1" applyAlignment="1">
      <alignment horizontal="left" wrapText="1"/>
    </xf>
    <xf numFmtId="0" fontId="18" fillId="5" borderId="2" xfId="0" applyNumberFormat="1" applyFont="1" applyFill="1" applyBorder="1" applyAlignment="1">
      <alignment horizontal="left" vertical="center" wrapText="1"/>
    </xf>
    <xf numFmtId="0" fontId="18" fillId="5" borderId="3" xfId="0" applyNumberFormat="1" applyFont="1" applyFill="1" applyBorder="1" applyAlignment="1">
      <alignment horizontal="left" vertical="center" wrapText="1"/>
    </xf>
    <xf numFmtId="0" fontId="18" fillId="5" borderId="4" xfId="0" applyNumberFormat="1" applyFont="1" applyFill="1" applyBorder="1" applyAlignment="1">
      <alignment horizontal="left" vertical="center" wrapText="1"/>
    </xf>
    <xf numFmtId="0" fontId="18" fillId="5" borderId="6" xfId="0" applyNumberFormat="1" applyFont="1" applyFill="1" applyBorder="1"/>
    <xf numFmtId="0" fontId="18" fillId="5" borderId="6" xfId="0" applyNumberFormat="1" applyFont="1" applyFill="1" applyBorder="1" applyAlignment="1">
      <alignment wrapText="1"/>
    </xf>
    <xf numFmtId="0" fontId="18" fillId="5" borderId="5" xfId="0" applyNumberFormat="1" applyFont="1" applyFill="1" applyBorder="1" applyAlignment="1">
      <alignment horizontal="left" wrapText="1"/>
    </xf>
    <xf numFmtId="0" fontId="18" fillId="5" borderId="6" xfId="0" applyNumberFormat="1" applyFont="1" applyFill="1" applyBorder="1" applyAlignment="1">
      <alignment horizontal="left" wrapText="1"/>
    </xf>
    <xf numFmtId="0" fontId="18" fillId="5" borderId="7" xfId="0" applyNumberFormat="1" applyFont="1" applyFill="1" applyBorder="1" applyAlignment="1">
      <alignment horizontal="left" wrapText="1"/>
    </xf>
    <xf numFmtId="0" fontId="18" fillId="5" borderId="5" xfId="0" applyNumberFormat="1" applyFont="1" applyFill="1" applyBorder="1" applyAlignment="1">
      <alignment horizontal="left" vertical="center" wrapText="1"/>
    </xf>
    <xf numFmtId="0" fontId="18" fillId="5" borderId="6" xfId="0" applyNumberFormat="1" applyFont="1" applyFill="1" applyBorder="1" applyAlignment="1">
      <alignment horizontal="left" vertical="center" wrapText="1"/>
    </xf>
    <xf numFmtId="0" fontId="18" fillId="5" borderId="7" xfId="0" applyNumberFormat="1" applyFont="1" applyFill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19" fillId="0" borderId="0" xfId="0" applyNumberFormat="1" applyFont="1" applyFill="1" applyBorder="1"/>
    <xf numFmtId="0" fontId="19" fillId="0" borderId="1" xfId="0" applyNumberFormat="1" applyFont="1" applyFill="1" applyBorder="1"/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20" fillId="2" borderId="0" xfId="0" applyNumberFormat="1" applyFont="1" applyFill="1" applyBorder="1" applyAlignment="1">
      <alignment wrapText="1"/>
    </xf>
    <xf numFmtId="0" fontId="21" fillId="0" borderId="0" xfId="0" applyNumberFormat="1" applyFont="1" applyFill="1" applyBorder="1" applyAlignment="1">
      <alignment wrapText="1"/>
    </xf>
    <xf numFmtId="0" fontId="20" fillId="2" borderId="1" xfId="0" applyNumberFormat="1" applyFont="1" applyFill="1" applyBorder="1" applyAlignment="1">
      <alignment wrapText="1"/>
    </xf>
    <xf numFmtId="0" fontId="21" fillId="0" borderId="1" xfId="0" applyNumberFormat="1" applyFont="1" applyFill="1" applyBorder="1" applyAlignment="1">
      <alignment wrapText="1"/>
    </xf>
    <xf numFmtId="0" fontId="22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64c81efd4455a" /><Relationship Type="http://schemas.openxmlformats.org/officeDocument/2006/relationships/theme" Target="/xl/theme/theme1.xml" Id="Rb16489d66ae34d3b" /><Relationship Type="http://schemas.openxmlformats.org/officeDocument/2006/relationships/sharedStrings" Target="/xl/sharedStrings.xml" Id="R25654d37edbb4b34" /><Relationship Type="http://schemas.openxmlformats.org/officeDocument/2006/relationships/worksheet" Target="/xl/worksheets/sheet1.xml" Id="R16a95ea15ec243b2" /><Relationship Type="http://schemas.openxmlformats.org/officeDocument/2006/relationships/worksheet" Target="/xl/worksheets/sheet2.xml" Id="Rba7e771f87744b5c" /><Relationship Type="http://schemas.openxmlformats.org/officeDocument/2006/relationships/worksheet" Target="/xl/worksheets/sheet3.xml" Id="R4e21d899f1d0464b" /><Relationship Type="http://schemas.openxmlformats.org/officeDocument/2006/relationships/worksheet" Target="/xl/worksheets/sheet4.xml" Id="Rcafa576ecc074933" /><Relationship Type="http://schemas.openxmlformats.org/officeDocument/2006/relationships/worksheet" Target="/xl/worksheets/sheet5.xml" Id="Rc2e65f9536ff488d" /><Relationship Type="http://schemas.openxmlformats.org/officeDocument/2006/relationships/worksheet" Target="/xl/worksheets/sheet6.xml" Id="Rf60ad4ce82a045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3.5" hidden="0" customWidth="1"/>
    <col min="2" max="2" width="3.5" hidden="0" customWidth="1"/>
    <col min="3" max="3" width="3.5" hidden="0" customWidth="1"/>
    <col min="4" max="4" width="3.5" hidden="0" customWidth="1"/>
    <col min="5" max="5" width="3.5" hidden="0" customWidth="1"/>
    <col min="6" max="6" width="3.5" hidden="0" customWidth="1"/>
    <col min="7" max="7" width="3.5" hidden="0" customWidth="1"/>
    <col min="8" max="8" width="3.5" hidden="0" customWidth="1"/>
    <col min="9" max="9" width="3.5" hidden="0" customWidth="1"/>
    <col min="10" max="10" width="3.5" hidden="0" customWidth="1"/>
    <col min="11" max="11" width="3.5" hidden="0" customWidth="1"/>
    <col min="12" max="12" width="3.5" hidden="0" customWidth="1"/>
    <col min="13" max="13" width="3.5" hidden="0" customWidth="1"/>
    <col min="14" max="14" width="3.5" hidden="0" customWidth="1"/>
    <col min="15" max="15" width="3.5" hidden="0" customWidth="1"/>
    <col min="16" max="16" width="3.5" hidden="0" customWidth="1"/>
    <col min="17" max="17" width="3.5" hidden="0" customWidth="1"/>
    <col min="18" max="18" width="3.5" hidden="0" customWidth="1"/>
    <col min="19" max="19" width="3.5" hidden="0" customWidth="1"/>
    <col min="20" max="20" width="3.5" hidden="0" customWidth="1"/>
    <col min="21" max="21" width="3.5" hidden="0" customWidth="1"/>
    <col min="22" max="22" width="3.5" hidden="0" customWidth="1"/>
    <col min="23" max="23" width="3.5" hidden="0" customWidth="1"/>
    <col min="24" max="24" width="3.5" hidden="0" customWidth="1"/>
    <col min="25" max="25" width="3.5" hidden="0" customWidth="1"/>
    <col min="26" max="26" width="3.5" hidden="0" customWidth="1"/>
    <col min="27" max="27" width="3.5" hidden="0" customWidth="1"/>
    <col min="28" max="28" width="3.5" hidden="0" customWidth="1"/>
    <col min="29" max="29" width="3.5" hidden="0" customWidth="1"/>
    <col min="30" max="30" width="3.5" hidden="0" customWidth="1"/>
    <col min="31" max="31" width="3.5" hidden="0" customWidth="1"/>
    <col min="32" max="32" width="3.5" hidden="0" customWidth="1"/>
    <col min="33" max="33" width="3.5" hidden="0" customWidth="1"/>
    <col min="34" max="34" width="3.5" hidden="0" customWidth="1"/>
    <col min="35" max="35" width="3.5" hidden="0" customWidth="1"/>
    <col min="36" max="36" width="3.5" hidden="0" customWidth="1"/>
  </cols>
  <sheetData>
    <row r="1" ht="18" customHeight="1">
      <c r="A1" s="9" t="str">
        <v>第五版 2014 中文自动角色卡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ht="18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ht="18" customHeight="1">
      <c r="A3" s="22" t="str">
        <v>角色名</v>
      </c>
      <c r="B3" s="23"/>
      <c r="C3" s="23"/>
      <c r="D3" s="23"/>
      <c r="E3" s="23"/>
      <c r="F3" s="23"/>
      <c r="G3" s="23"/>
      <c r="H3" s="23"/>
      <c r="I3" s="23"/>
      <c r="J3" s="24"/>
      <c r="K3" s="22" t="str">
        <v>职业</v>
      </c>
      <c r="L3" s="23"/>
      <c r="M3" s="23"/>
      <c r="N3" s="23"/>
      <c r="O3" s="23"/>
      <c r="P3" s="23"/>
      <c r="Q3" s="23"/>
      <c r="R3" s="24"/>
      <c r="S3" s="22" t="str">
        <v>种族</v>
      </c>
      <c r="T3" s="23"/>
      <c r="U3" s="23"/>
      <c r="V3" s="23"/>
      <c r="W3" s="23"/>
      <c r="X3" s="23"/>
      <c r="Y3" s="23"/>
      <c r="Z3" s="24"/>
      <c r="AA3" s="22" t="str">
        <v>背景</v>
      </c>
      <c r="AB3" s="23"/>
      <c r="AC3" s="23"/>
      <c r="AD3" s="23"/>
      <c r="AE3" s="23"/>
      <c r="AF3" s="24"/>
      <c r="AG3" s="22" t="str">
        <v>等级</v>
      </c>
      <c r="AH3" s="23"/>
      <c r="AI3" s="23"/>
      <c r="AJ3" s="24"/>
    </row>
    <row r="4" ht="18" customHeight="1">
      <c r="A4" s="64" t="str"/>
      <c r="B4" s="65"/>
      <c r="C4" s="65"/>
      <c r="D4" s="65"/>
      <c r="E4" s="65"/>
      <c r="F4" s="65"/>
      <c r="G4" s="65"/>
      <c r="H4" s="65"/>
      <c r="I4" s="65"/>
      <c r="J4" s="66"/>
      <c r="K4" s="137" t="str"/>
      <c r="L4" s="138"/>
      <c r="M4" s="138"/>
      <c r="N4" s="138"/>
      <c r="O4" s="138"/>
      <c r="P4" s="138"/>
      <c r="Q4" s="138"/>
      <c r="R4" s="139"/>
      <c r="S4" s="137" t="str"/>
      <c r="T4" s="138"/>
      <c r="U4" s="138"/>
      <c r="V4" s="138"/>
      <c r="W4" s="138"/>
      <c r="X4" s="138"/>
      <c r="Y4" s="138"/>
      <c r="Z4" s="139"/>
      <c r="AA4" s="137" t="str"/>
      <c r="AB4" s="138"/>
      <c r="AC4" s="138"/>
      <c r="AD4" s="138"/>
      <c r="AE4" s="138"/>
      <c r="AF4" s="139"/>
      <c r="AG4" s="137" t="str"/>
      <c r="AH4" s="138"/>
      <c r="AI4" s="138"/>
      <c r="AJ4" s="139"/>
    </row>
    <row r="5" ht="18" customHeight="1">
      <c r="A5" s="67"/>
      <c r="B5" s="68"/>
      <c r="C5" s="68"/>
      <c r="D5" s="68"/>
      <c r="E5" s="68"/>
      <c r="F5" s="68"/>
      <c r="G5" s="68"/>
      <c r="H5" s="68"/>
      <c r="I5" s="68"/>
      <c r="J5" s="69"/>
      <c r="K5" s="140"/>
      <c r="L5" s="141"/>
      <c r="M5" s="141"/>
      <c r="N5" s="141"/>
      <c r="O5" s="141"/>
      <c r="P5" s="141"/>
      <c r="Q5" s="141"/>
      <c r="R5" s="142"/>
      <c r="S5" s="140"/>
      <c r="T5" s="141"/>
      <c r="U5" s="141"/>
      <c r="V5" s="141"/>
      <c r="W5" s="141"/>
      <c r="X5" s="141"/>
      <c r="Y5" s="141"/>
      <c r="Z5" s="142"/>
      <c r="AA5" s="140"/>
      <c r="AB5" s="141"/>
      <c r="AC5" s="141"/>
      <c r="AD5" s="141"/>
      <c r="AE5" s="141"/>
      <c r="AF5" s="142"/>
      <c r="AG5" s="140"/>
      <c r="AH5" s="141"/>
      <c r="AI5" s="141"/>
      <c r="AJ5" s="142"/>
    </row>
    <row r="6" ht="18" customHeight="1">
      <c r="A6" s="70"/>
      <c r="B6" s="71"/>
      <c r="C6" s="71"/>
      <c r="D6" s="71"/>
      <c r="E6" s="71"/>
      <c r="F6" s="71"/>
      <c r="G6" s="71"/>
      <c r="H6" s="71"/>
      <c r="I6" s="71"/>
      <c r="J6" s="72"/>
      <c r="K6" s="143"/>
      <c r="L6" s="144"/>
      <c r="M6" s="144"/>
      <c r="N6" s="144"/>
      <c r="O6" s="144"/>
      <c r="P6" s="144"/>
      <c r="Q6" s="144"/>
      <c r="R6" s="145"/>
      <c r="S6" s="143"/>
      <c r="T6" s="144"/>
      <c r="U6" s="144"/>
      <c r="V6" s="144"/>
      <c r="W6" s="144"/>
      <c r="X6" s="144"/>
      <c r="Y6" s="144"/>
      <c r="Z6" s="145"/>
      <c r="AA6" s="143"/>
      <c r="AB6" s="144"/>
      <c r="AC6" s="144"/>
      <c r="AD6" s="144"/>
      <c r="AE6" s="144"/>
      <c r="AF6" s="145"/>
      <c r="AG6" s="143"/>
      <c r="AH6" s="144"/>
      <c r="AI6" s="144"/>
      <c r="AJ6" s="145"/>
    </row>
    <row r="7" ht="18" customHeight="1">
      <c r="A7" s="22" t="str">
        <v>玩家名</v>
      </c>
      <c r="B7" s="23"/>
      <c r="C7" s="23"/>
      <c r="D7" s="23"/>
      <c r="E7" s="23"/>
      <c r="F7" s="23"/>
      <c r="G7" s="23"/>
      <c r="H7" s="24"/>
      <c r="I7" s="22" t="str">
        <v>阵营</v>
      </c>
      <c r="J7" s="23"/>
      <c r="K7" s="23"/>
      <c r="L7" s="23"/>
      <c r="M7" s="23"/>
      <c r="N7" s="24"/>
      <c r="O7" s="22" t="str">
        <v>经验值</v>
      </c>
      <c r="P7" s="23"/>
      <c r="Q7" s="23"/>
      <c r="R7" s="23"/>
      <c r="S7" s="23"/>
      <c r="T7" s="24"/>
      <c r="U7" s="22" t="str">
        <v>年龄</v>
      </c>
      <c r="V7" s="23"/>
      <c r="W7" s="23"/>
      <c r="X7" s="23"/>
      <c r="Y7" s="23"/>
      <c r="Z7" s="24"/>
      <c r="AA7" s="22" t="str">
        <v>性别</v>
      </c>
      <c r="AB7" s="23"/>
      <c r="AC7" s="23"/>
      <c r="AD7" s="24"/>
      <c r="AE7" s="22" t="str">
        <v>身高</v>
      </c>
      <c r="AF7" s="23"/>
      <c r="AG7" s="24"/>
      <c r="AH7" s="22" t="str">
        <v>体重</v>
      </c>
      <c r="AI7" s="23"/>
      <c r="AJ7" s="24"/>
    </row>
    <row r="8" ht="18" customHeight="1">
      <c r="A8" s="188" t="str"/>
      <c r="B8" s="189"/>
      <c r="C8" s="189"/>
      <c r="D8" s="189"/>
      <c r="E8" s="189"/>
      <c r="F8" s="189"/>
      <c r="G8" s="189"/>
      <c r="H8" s="190"/>
      <c r="I8" s="137" t="str"/>
      <c r="J8" s="138"/>
      <c r="K8" s="138"/>
      <c r="L8" s="138"/>
      <c r="M8" s="138"/>
      <c r="N8" s="139"/>
      <c r="O8" s="137" t="str"/>
      <c r="P8" s="138"/>
      <c r="Q8" s="138"/>
      <c r="R8" s="138"/>
      <c r="S8" s="138"/>
      <c r="T8" s="139"/>
      <c r="U8" s="137" t="str"/>
      <c r="V8" s="138"/>
      <c r="W8" s="138"/>
      <c r="X8" s="138"/>
      <c r="Y8" s="138"/>
      <c r="Z8" s="139"/>
      <c r="AA8" s="137" t="str"/>
      <c r="AB8" s="138"/>
      <c r="AC8" s="138"/>
      <c r="AD8" s="139"/>
      <c r="AE8" s="137" t="str"/>
      <c r="AF8" s="138"/>
      <c r="AG8" s="139"/>
      <c r="AH8" s="137" t="str"/>
      <c r="AI8" s="138"/>
      <c r="AJ8" s="139"/>
    </row>
    <row r="9" ht="18" customHeight="1">
      <c r="A9" s="191"/>
      <c r="B9" s="192"/>
      <c r="C9" s="192"/>
      <c r="D9" s="192"/>
      <c r="E9" s="192"/>
      <c r="F9" s="192"/>
      <c r="G9" s="192"/>
      <c r="H9" s="193"/>
      <c r="I9" s="143"/>
      <c r="J9" s="144"/>
      <c r="K9" s="144"/>
      <c r="L9" s="144"/>
      <c r="M9" s="144"/>
      <c r="N9" s="145"/>
      <c r="O9" s="143"/>
      <c r="P9" s="144"/>
      <c r="Q9" s="144"/>
      <c r="R9" s="144"/>
      <c r="S9" s="144"/>
      <c r="T9" s="145"/>
      <c r="U9" s="143"/>
      <c r="V9" s="144"/>
      <c r="W9" s="144"/>
      <c r="X9" s="144"/>
      <c r="Y9" s="144"/>
      <c r="Z9" s="145"/>
      <c r="AA9" s="143"/>
      <c r="AB9" s="144"/>
      <c r="AC9" s="144"/>
      <c r="AD9" s="145"/>
      <c r="AE9" s="143"/>
      <c r="AF9" s="144"/>
      <c r="AG9" s="145"/>
      <c r="AH9" s="143"/>
      <c r="AI9" s="144"/>
      <c r="AJ9" s="145"/>
    </row>
    <row r="10" ht="18" customHeight="1">
      <c r="A10" s="213" t="str">
        <v>力量</v>
      </c>
      <c r="B10" s="214"/>
      <c r="C10" s="214"/>
      <c r="D10" s="214"/>
      <c r="E10" s="214"/>
      <c r="F10" s="214"/>
      <c r="G10" s="214"/>
      <c r="H10" s="214"/>
      <c r="I10" s="215"/>
      <c r="J10" s="213" t="str">
        <v>豁免</v>
      </c>
      <c r="K10" s="214"/>
      <c r="L10" s="214"/>
      <c r="M10" s="214"/>
      <c r="N10" s="214"/>
      <c r="O10" s="214"/>
      <c r="P10" s="214"/>
      <c r="Q10" s="215"/>
      <c r="R10" s="213" t="str">
        <v>战斗数据</v>
      </c>
      <c r="S10" s="214"/>
      <c r="T10" s="214"/>
      <c r="U10" s="214"/>
      <c r="V10" s="214"/>
      <c r="W10" s="214"/>
      <c r="X10" s="214"/>
      <c r="Y10" s="215"/>
      <c r="Z10" s="213" t="str">
        <v>角色个性</v>
      </c>
      <c r="AA10" s="214"/>
      <c r="AB10" s="214"/>
      <c r="AC10" s="214"/>
      <c r="AD10" s="214"/>
      <c r="AE10" s="214"/>
      <c r="AF10" s="214"/>
      <c r="AG10" s="214"/>
      <c r="AH10" s="214"/>
      <c r="AI10" s="214"/>
      <c r="AJ10" s="215"/>
    </row>
    <row r="11" ht="18" customHeight="1">
      <c r="A11" s="22" t="str">
        <v>属性值</v>
      </c>
      <c r="B11" s="23"/>
      <c r="C11" s="23"/>
      <c r="D11" s="24"/>
      <c r="E11" s="22" t="str">
        <v>调整值</v>
      </c>
      <c r="F11" s="23"/>
      <c r="G11" s="23"/>
      <c r="H11" s="23"/>
      <c r="I11" s="24"/>
      <c r="J11" s="529" t="str"/>
      <c r="K11" s="530"/>
      <c r="L11" s="569" t="str">
        <v>力量</v>
      </c>
      <c r="M11" s="570"/>
      <c r="N11" s="570"/>
      <c r="O11" s="571"/>
      <c r="P11" s="613" t="str">
        <f>IF(E12="","",E12+IF(J11="●",$R$12,0))</f>
      </c>
      <c r="Q11" s="614"/>
      <c r="R11" s="22" t="str">
        <v>熟练加值</v>
      </c>
      <c r="S11" s="23"/>
      <c r="T11" s="23"/>
      <c r="U11" s="24"/>
      <c r="V11" s="22" t="str">
        <v>先攻</v>
      </c>
      <c r="W11" s="23"/>
      <c r="X11" s="23"/>
      <c r="Y11" s="24"/>
      <c r="Z11" s="22" t="str">
        <v>个性特征</v>
      </c>
      <c r="AA11" s="23"/>
      <c r="AB11" s="23"/>
      <c r="AC11" s="23"/>
      <c r="AD11" s="23"/>
      <c r="AE11" s="23"/>
      <c r="AF11" s="23"/>
      <c r="AG11" s="23"/>
      <c r="AH11" s="23"/>
      <c r="AI11" s="23"/>
      <c r="AJ11" s="24"/>
    </row>
    <row r="12" ht="18" customHeight="1">
      <c r="A12" s="253" t="str"/>
      <c r="B12" s="254"/>
      <c r="C12" s="254"/>
      <c r="D12" s="255"/>
      <c r="E12" s="326" t="str">
        <f>IF(A12="","",INT((A12-10)/2))</f>
      </c>
      <c r="F12" s="327"/>
      <c r="G12" s="327"/>
      <c r="H12" s="327"/>
      <c r="I12" s="328"/>
      <c r="J12" s="531"/>
      <c r="K12" s="532"/>
      <c r="L12" s="572"/>
      <c r="M12" s="573"/>
      <c r="N12" s="573"/>
      <c r="O12" s="574"/>
      <c r="P12" s="615"/>
      <c r="Q12" s="616"/>
      <c r="R12" s="399" t="str">
        <f>IF(AG4="","",2+INT((AG4-1)/4))</f>
      </c>
      <c r="S12" s="400"/>
      <c r="T12" s="400"/>
      <c r="U12" s="401"/>
      <c r="V12" s="399" t="str">
        <f>IF(E19="","",E19)</f>
      </c>
      <c r="W12" s="400"/>
      <c r="X12" s="400"/>
      <c r="Y12" s="401"/>
      <c r="Z12" s="471" t="str"/>
      <c r="AA12" s="472"/>
      <c r="AB12" s="472"/>
      <c r="AC12" s="472"/>
      <c r="AD12" s="472"/>
      <c r="AE12" s="472"/>
      <c r="AF12" s="472"/>
      <c r="AG12" s="472"/>
      <c r="AH12" s="472"/>
      <c r="AI12" s="472"/>
      <c r="AJ12" s="473"/>
    </row>
    <row r="13" ht="18" customHeight="1">
      <c r="A13" s="256"/>
      <c r="B13" s="257"/>
      <c r="C13" s="257"/>
      <c r="D13" s="258"/>
      <c r="E13" s="329"/>
      <c r="F13" s="330"/>
      <c r="G13" s="330"/>
      <c r="H13" s="330"/>
      <c r="I13" s="331"/>
      <c r="J13" s="529" t="str"/>
      <c r="K13" s="530"/>
      <c r="L13" s="569" t="str">
        <v>敏捷</v>
      </c>
      <c r="M13" s="570"/>
      <c r="N13" s="570"/>
      <c r="O13" s="571"/>
      <c r="P13" s="613" t="str">
        <f>IF(E19="","",E19+IF(J13="●",$R$12,0))</f>
      </c>
      <c r="Q13" s="614"/>
      <c r="R13" s="402"/>
      <c r="S13" s="403"/>
      <c r="T13" s="403"/>
      <c r="U13" s="404"/>
      <c r="V13" s="402"/>
      <c r="W13" s="403"/>
      <c r="X13" s="403"/>
      <c r="Y13" s="404"/>
      <c r="Z13" s="474"/>
      <c r="AA13" s="475"/>
      <c r="AB13" s="475"/>
      <c r="AC13" s="475"/>
      <c r="AD13" s="475"/>
      <c r="AE13" s="475"/>
      <c r="AF13" s="475"/>
      <c r="AG13" s="475"/>
      <c r="AH13" s="475"/>
      <c r="AI13" s="475"/>
      <c r="AJ13" s="476"/>
    </row>
    <row r="14" ht="18" customHeight="1">
      <c r="A14" s="256"/>
      <c r="B14" s="257"/>
      <c r="C14" s="257"/>
      <c r="D14" s="258"/>
      <c r="E14" s="329"/>
      <c r="F14" s="330"/>
      <c r="G14" s="330"/>
      <c r="H14" s="330"/>
      <c r="I14" s="331"/>
      <c r="J14" s="531"/>
      <c r="K14" s="532"/>
      <c r="L14" s="572"/>
      <c r="M14" s="573"/>
      <c r="N14" s="573"/>
      <c r="O14" s="574"/>
      <c r="P14" s="615"/>
      <c r="Q14" s="616"/>
      <c r="R14" s="405"/>
      <c r="S14" s="406"/>
      <c r="T14" s="406"/>
      <c r="U14" s="407"/>
      <c r="V14" s="405"/>
      <c r="W14" s="406"/>
      <c r="X14" s="406"/>
      <c r="Y14" s="407"/>
      <c r="Z14" s="474"/>
      <c r="AA14" s="475"/>
      <c r="AB14" s="475"/>
      <c r="AC14" s="475"/>
      <c r="AD14" s="475"/>
      <c r="AE14" s="475"/>
      <c r="AF14" s="475"/>
      <c r="AG14" s="475"/>
      <c r="AH14" s="475"/>
      <c r="AI14" s="475"/>
      <c r="AJ14" s="476"/>
    </row>
    <row r="15" ht="18" customHeight="1">
      <c r="A15" s="259"/>
      <c r="B15" s="260"/>
      <c r="C15" s="260"/>
      <c r="D15" s="261"/>
      <c r="E15" s="332"/>
      <c r="F15" s="333"/>
      <c r="G15" s="333"/>
      <c r="H15" s="333"/>
      <c r="I15" s="334"/>
      <c r="J15" s="529" t="str"/>
      <c r="K15" s="530"/>
      <c r="L15" s="569" t="str">
        <v>体质</v>
      </c>
      <c r="M15" s="570"/>
      <c r="N15" s="570"/>
      <c r="O15" s="571"/>
      <c r="P15" s="613" t="str">
        <f>IF(E26="","",E26+IF(J15="●",$R$12,0))</f>
      </c>
      <c r="Q15" s="614"/>
      <c r="Z15" s="474"/>
      <c r="AA15" s="475"/>
      <c r="AB15" s="475"/>
      <c r="AC15" s="475"/>
      <c r="AD15" s="475"/>
      <c r="AE15" s="475"/>
      <c r="AF15" s="475"/>
      <c r="AG15" s="475"/>
      <c r="AH15" s="475"/>
      <c r="AI15" s="475"/>
      <c r="AJ15" s="476"/>
    </row>
    <row r="16" ht="18" customHeight="1">
      <c r="J16" s="531"/>
      <c r="K16" s="532"/>
      <c r="L16" s="572"/>
      <c r="M16" s="573"/>
      <c r="N16" s="573"/>
      <c r="O16" s="574"/>
      <c r="P16" s="615"/>
      <c r="Q16" s="616"/>
      <c r="R16" s="22" t="str">
        <v>护甲等级</v>
      </c>
      <c r="S16" s="23"/>
      <c r="T16" s="23"/>
      <c r="U16" s="24"/>
      <c r="V16" s="22" t="str">
        <v>速度</v>
      </c>
      <c r="W16" s="23"/>
      <c r="X16" s="23"/>
      <c r="Y16" s="24"/>
      <c r="Z16" s="474"/>
      <c r="AA16" s="475"/>
      <c r="AB16" s="475"/>
      <c r="AC16" s="475"/>
      <c r="AD16" s="475"/>
      <c r="AE16" s="475"/>
      <c r="AF16" s="475"/>
      <c r="AG16" s="475"/>
      <c r="AH16" s="475"/>
      <c r="AI16" s="475"/>
      <c r="AJ16" s="476"/>
    </row>
    <row r="17" ht="18" customHeight="1">
      <c r="A17" s="213" t="str">
        <v>敏捷</v>
      </c>
      <c r="B17" s="214"/>
      <c r="C17" s="214"/>
      <c r="D17" s="214"/>
      <c r="E17" s="214"/>
      <c r="F17" s="214"/>
      <c r="G17" s="214"/>
      <c r="H17" s="214"/>
      <c r="I17" s="215"/>
      <c r="J17" s="529" t="str"/>
      <c r="K17" s="530"/>
      <c r="L17" s="569" t="str">
        <v>智力</v>
      </c>
      <c r="M17" s="570"/>
      <c r="N17" s="570"/>
      <c r="O17" s="571"/>
      <c r="P17" s="613" t="str">
        <f>IF(E33="","",E33+IF(J17="●",$R$12,0))</f>
      </c>
      <c r="Q17" s="614"/>
      <c r="R17" s="691" t="str"/>
      <c r="S17" s="692"/>
      <c r="T17" s="692"/>
      <c r="U17" s="693"/>
      <c r="V17" s="763" t="str"/>
      <c r="W17" s="764"/>
      <c r="X17" s="764"/>
      <c r="Y17" s="765"/>
      <c r="Z17" s="474"/>
      <c r="AA17" s="475"/>
      <c r="AB17" s="475"/>
      <c r="AC17" s="475"/>
      <c r="AD17" s="475"/>
      <c r="AE17" s="475"/>
      <c r="AF17" s="475"/>
      <c r="AG17" s="475"/>
      <c r="AH17" s="475"/>
      <c r="AI17" s="475"/>
      <c r="AJ17" s="476"/>
    </row>
    <row r="18" ht="18" customHeight="1">
      <c r="A18" s="22" t="str">
        <v>属性值</v>
      </c>
      <c r="B18" s="23"/>
      <c r="C18" s="23"/>
      <c r="D18" s="24"/>
      <c r="E18" s="22" t="str">
        <v>调整值</v>
      </c>
      <c r="F18" s="23"/>
      <c r="G18" s="23"/>
      <c r="H18" s="23"/>
      <c r="I18" s="24"/>
      <c r="J18" s="531"/>
      <c r="K18" s="532"/>
      <c r="L18" s="572"/>
      <c r="M18" s="573"/>
      <c r="N18" s="573"/>
      <c r="O18" s="574"/>
      <c r="P18" s="615"/>
      <c r="Q18" s="616"/>
      <c r="R18" s="694"/>
      <c r="S18" s="695"/>
      <c r="T18" s="695"/>
      <c r="U18" s="696"/>
      <c r="V18" s="766"/>
      <c r="W18" s="767"/>
      <c r="X18" s="767"/>
      <c r="Y18" s="768"/>
      <c r="Z18" s="474"/>
      <c r="AA18" s="475"/>
      <c r="AB18" s="475"/>
      <c r="AC18" s="475"/>
      <c r="AD18" s="475"/>
      <c r="AE18" s="475"/>
      <c r="AF18" s="475"/>
      <c r="AG18" s="475"/>
      <c r="AH18" s="475"/>
      <c r="AI18" s="475"/>
      <c r="AJ18" s="476"/>
    </row>
    <row r="19" ht="18" customHeight="1">
      <c r="A19" s="253" t="str"/>
      <c r="B19" s="254"/>
      <c r="C19" s="254"/>
      <c r="D19" s="255"/>
      <c r="E19" s="326" t="str">
        <f>IF(A19="","",INT((A19-10)/2))</f>
      </c>
      <c r="F19" s="327"/>
      <c r="G19" s="327"/>
      <c r="H19" s="327"/>
      <c r="I19" s="328"/>
      <c r="J19" s="529" t="str"/>
      <c r="K19" s="530"/>
      <c r="L19" s="569" t="str">
        <v>感知</v>
      </c>
      <c r="M19" s="570"/>
      <c r="N19" s="570"/>
      <c r="O19" s="571"/>
      <c r="P19" s="613" t="str">
        <f>IF(E40="","",E40+IF(J19="●",$R$12,0))</f>
      </c>
      <c r="Q19" s="614"/>
      <c r="R19" s="694"/>
      <c r="S19" s="695"/>
      <c r="T19" s="695"/>
      <c r="U19" s="696"/>
      <c r="V19" s="766"/>
      <c r="W19" s="767"/>
      <c r="X19" s="767"/>
      <c r="Y19" s="768"/>
      <c r="Z19" s="474"/>
      <c r="AA19" s="475"/>
      <c r="AB19" s="475"/>
      <c r="AC19" s="475"/>
      <c r="AD19" s="475"/>
      <c r="AE19" s="475"/>
      <c r="AF19" s="475"/>
      <c r="AG19" s="475"/>
      <c r="AH19" s="475"/>
      <c r="AI19" s="475"/>
      <c r="AJ19" s="476"/>
    </row>
    <row r="20" ht="18" customHeight="1">
      <c r="A20" s="256"/>
      <c r="B20" s="257"/>
      <c r="C20" s="257"/>
      <c r="D20" s="258"/>
      <c r="E20" s="329"/>
      <c r="F20" s="330"/>
      <c r="G20" s="330"/>
      <c r="H20" s="330"/>
      <c r="I20" s="331"/>
      <c r="J20" s="531"/>
      <c r="K20" s="532"/>
      <c r="L20" s="572"/>
      <c r="M20" s="573"/>
      <c r="N20" s="573"/>
      <c r="O20" s="574"/>
      <c r="P20" s="615"/>
      <c r="Q20" s="616"/>
      <c r="R20" s="697"/>
      <c r="S20" s="698"/>
      <c r="T20" s="698"/>
      <c r="U20" s="699"/>
      <c r="V20" s="769"/>
      <c r="W20" s="770"/>
      <c r="X20" s="770"/>
      <c r="Y20" s="771"/>
      <c r="Z20" s="474"/>
      <c r="AA20" s="475"/>
      <c r="AB20" s="475"/>
      <c r="AC20" s="475"/>
      <c r="AD20" s="475"/>
      <c r="AE20" s="475"/>
      <c r="AF20" s="475"/>
      <c r="AG20" s="475"/>
      <c r="AH20" s="475"/>
      <c r="AI20" s="475"/>
      <c r="AJ20" s="476"/>
    </row>
    <row r="21" ht="18" customHeight="1">
      <c r="A21" s="256"/>
      <c r="B21" s="257"/>
      <c r="C21" s="257"/>
      <c r="D21" s="258"/>
      <c r="E21" s="329"/>
      <c r="F21" s="330"/>
      <c r="G21" s="330"/>
      <c r="H21" s="330"/>
      <c r="I21" s="331"/>
      <c r="J21" s="529" t="str"/>
      <c r="K21" s="530"/>
      <c r="L21" s="569" t="str">
        <v>魅力</v>
      </c>
      <c r="M21" s="570"/>
      <c r="N21" s="570"/>
      <c r="O21" s="571"/>
      <c r="P21" s="613" t="str">
        <f>IF(E47="","",E47+IF(J21="●",$R$12,0))</f>
      </c>
      <c r="Q21" s="614"/>
      <c r="Z21" s="477"/>
      <c r="AA21" s="478"/>
      <c r="AB21" s="478"/>
      <c r="AC21" s="478"/>
      <c r="AD21" s="478"/>
      <c r="AE21" s="478"/>
      <c r="AF21" s="478"/>
      <c r="AG21" s="478"/>
      <c r="AH21" s="478"/>
      <c r="AI21" s="478"/>
      <c r="AJ21" s="479"/>
    </row>
    <row r="22" ht="18" customHeight="1">
      <c r="A22" s="259"/>
      <c r="B22" s="260"/>
      <c r="C22" s="260"/>
      <c r="D22" s="261"/>
      <c r="E22" s="332"/>
      <c r="F22" s="333"/>
      <c r="G22" s="333"/>
      <c r="H22" s="333"/>
      <c r="I22" s="334"/>
      <c r="J22" s="531"/>
      <c r="K22" s="532"/>
      <c r="L22" s="572"/>
      <c r="M22" s="573"/>
      <c r="N22" s="573"/>
      <c r="O22" s="574"/>
      <c r="P22" s="615"/>
      <c r="Q22" s="616"/>
      <c r="R22" s="213" t="str">
        <v>生命值</v>
      </c>
      <c r="S22" s="214"/>
      <c r="T22" s="214"/>
      <c r="U22" s="214"/>
      <c r="V22" s="214"/>
      <c r="W22" s="214"/>
      <c r="X22" s="214"/>
      <c r="Y22" s="215"/>
    </row>
    <row r="23" ht="18" customHeight="1">
      <c r="R23" s="22" t="str">
        <v>上限</v>
      </c>
      <c r="S23" s="23"/>
      <c r="T23" s="24"/>
      <c r="U23" s="22" t="str">
        <v>当前</v>
      </c>
      <c r="V23" s="23"/>
      <c r="W23" s="24"/>
      <c r="X23" s="22" t="str">
        <v>临时</v>
      </c>
      <c r="Y23" s="24"/>
      <c r="Z23" s="22" t="str">
        <v>理想</v>
      </c>
      <c r="AA23" s="23"/>
      <c r="AB23" s="23"/>
      <c r="AC23" s="23"/>
      <c r="AD23" s="23"/>
      <c r="AE23" s="23"/>
      <c r="AF23" s="23"/>
      <c r="AG23" s="23"/>
      <c r="AH23" s="23"/>
      <c r="AI23" s="23"/>
      <c r="AJ23" s="24"/>
    </row>
    <row r="24" ht="18" customHeight="1">
      <c r="A24" s="213" t="str">
        <v>体质</v>
      </c>
      <c r="B24" s="214"/>
      <c r="C24" s="214"/>
      <c r="D24" s="214"/>
      <c r="E24" s="214"/>
      <c r="F24" s="214"/>
      <c r="G24" s="214"/>
      <c r="H24" s="214"/>
      <c r="I24" s="215"/>
      <c r="R24" s="835" t="str"/>
      <c r="S24" s="836"/>
      <c r="T24" s="837"/>
      <c r="U24" s="835" t="str"/>
      <c r="V24" s="836"/>
      <c r="W24" s="837"/>
      <c r="X24" s="835" t="str"/>
      <c r="Y24" s="837"/>
      <c r="Z24" s="471" t="str"/>
      <c r="AA24" s="472"/>
      <c r="AB24" s="472"/>
      <c r="AC24" s="472"/>
      <c r="AD24" s="472"/>
      <c r="AE24" s="472"/>
      <c r="AF24" s="472"/>
      <c r="AG24" s="472"/>
      <c r="AH24" s="472"/>
      <c r="AI24" s="472"/>
      <c r="AJ24" s="473"/>
    </row>
    <row r="25" ht="18" customHeight="1">
      <c r="A25" s="22" t="str">
        <v>属性值</v>
      </c>
      <c r="B25" s="23"/>
      <c r="C25" s="23"/>
      <c r="D25" s="24"/>
      <c r="E25" s="22" t="str">
        <v>调整值</v>
      </c>
      <c r="F25" s="23"/>
      <c r="G25" s="23"/>
      <c r="H25" s="23"/>
      <c r="I25" s="24"/>
      <c r="J25" s="213" t="str">
        <v>技能</v>
      </c>
      <c r="K25" s="214"/>
      <c r="L25" s="214"/>
      <c r="M25" s="214"/>
      <c r="N25" s="214"/>
      <c r="O25" s="214"/>
      <c r="P25" s="214"/>
      <c r="Q25" s="215"/>
      <c r="R25" s="838"/>
      <c r="S25" s="839"/>
      <c r="T25" s="840"/>
      <c r="U25" s="838"/>
      <c r="V25" s="839"/>
      <c r="W25" s="840"/>
      <c r="X25" s="838"/>
      <c r="Y25" s="840"/>
      <c r="Z25" s="474"/>
      <c r="AA25" s="475"/>
      <c r="AB25" s="475"/>
      <c r="AC25" s="475"/>
      <c r="AD25" s="475"/>
      <c r="AE25" s="475"/>
      <c r="AF25" s="475"/>
      <c r="AG25" s="475"/>
      <c r="AH25" s="475"/>
      <c r="AI25" s="475"/>
      <c r="AJ25" s="476"/>
    </row>
    <row r="26" ht="18" customHeight="1">
      <c r="A26" s="253" t="str"/>
      <c r="B26" s="254"/>
      <c r="C26" s="254"/>
      <c r="D26" s="255"/>
      <c r="E26" s="326" t="str">
        <f>IF(A26="","",INT((A26-10)/2))</f>
      </c>
      <c r="F26" s="327"/>
      <c r="G26" s="327"/>
      <c r="H26" s="327"/>
      <c r="I26" s="328"/>
      <c r="J26" s="637" t="str"/>
      <c r="K26" s="638"/>
      <c r="L26" s="648" t="str">
        <v>体操 (DEX)</v>
      </c>
      <c r="M26" s="649"/>
      <c r="N26" s="649"/>
      <c r="O26" s="649"/>
      <c r="P26" s="650"/>
      <c r="Q26" s="660" t="str">
        <f>IF(E19="","",E19+IF(J26="◆",2*$R$12,IF(J26="●",$R$12,0)))</f>
      </c>
      <c r="R26" s="838"/>
      <c r="S26" s="839"/>
      <c r="T26" s="840"/>
      <c r="U26" s="838"/>
      <c r="V26" s="839"/>
      <c r="W26" s="840"/>
      <c r="X26" s="838"/>
      <c r="Y26" s="840"/>
      <c r="Z26" s="474"/>
      <c r="AA26" s="475"/>
      <c r="AB26" s="475"/>
      <c r="AC26" s="475"/>
      <c r="AD26" s="475"/>
      <c r="AE26" s="475"/>
      <c r="AF26" s="475"/>
      <c r="AG26" s="475"/>
      <c r="AH26" s="475"/>
      <c r="AI26" s="475"/>
      <c r="AJ26" s="476"/>
    </row>
    <row r="27" ht="18" customHeight="1">
      <c r="A27" s="256"/>
      <c r="B27" s="257"/>
      <c r="C27" s="257"/>
      <c r="D27" s="258"/>
      <c r="E27" s="329"/>
      <c r="F27" s="330"/>
      <c r="G27" s="330"/>
      <c r="H27" s="330"/>
      <c r="I27" s="331"/>
      <c r="J27" s="637" t="str"/>
      <c r="K27" s="638"/>
      <c r="L27" s="648" t="str">
        <v>驯兽 (WIS)</v>
      </c>
      <c r="M27" s="649"/>
      <c r="N27" s="649"/>
      <c r="O27" s="649"/>
      <c r="P27" s="650"/>
      <c r="Q27" s="660" t="str">
        <f>IF(E40="","",E40+IF(J27="◆",2*$R$12,IF(J27="●",$R$12,0)))</f>
      </c>
      <c r="R27" s="838"/>
      <c r="S27" s="839"/>
      <c r="T27" s="840"/>
      <c r="U27" s="838"/>
      <c r="V27" s="839"/>
      <c r="W27" s="840"/>
      <c r="X27" s="838"/>
      <c r="Y27" s="840"/>
      <c r="Z27" s="474"/>
      <c r="AA27" s="475"/>
      <c r="AB27" s="475"/>
      <c r="AC27" s="475"/>
      <c r="AD27" s="475"/>
      <c r="AE27" s="475"/>
      <c r="AF27" s="475"/>
      <c r="AG27" s="475"/>
      <c r="AH27" s="475"/>
      <c r="AI27" s="475"/>
      <c r="AJ27" s="476"/>
    </row>
    <row r="28" ht="18" customHeight="1">
      <c r="A28" s="256"/>
      <c r="B28" s="257"/>
      <c r="C28" s="257"/>
      <c r="D28" s="258"/>
      <c r="E28" s="329"/>
      <c r="F28" s="330"/>
      <c r="G28" s="330"/>
      <c r="H28" s="330"/>
      <c r="I28" s="331"/>
      <c r="J28" s="637" t="str"/>
      <c r="K28" s="638"/>
      <c r="L28" s="648" t="str">
        <v>奥秘 (INT)</v>
      </c>
      <c r="M28" s="649"/>
      <c r="N28" s="649"/>
      <c r="O28" s="649"/>
      <c r="P28" s="650"/>
      <c r="Q28" s="660" t="str">
        <f>IF(E33="","",E33+IF(J28="◆",2*$R$12,IF(J28="●",$R$12,0)))</f>
      </c>
      <c r="R28" s="841"/>
      <c r="S28" s="842"/>
      <c r="T28" s="843"/>
      <c r="U28" s="841"/>
      <c r="V28" s="842"/>
      <c r="W28" s="843"/>
      <c r="X28" s="841"/>
      <c r="Y28" s="843"/>
      <c r="Z28" s="474"/>
      <c r="AA28" s="475"/>
      <c r="AB28" s="475"/>
      <c r="AC28" s="475"/>
      <c r="AD28" s="475"/>
      <c r="AE28" s="475"/>
      <c r="AF28" s="475"/>
      <c r="AG28" s="475"/>
      <c r="AH28" s="475"/>
      <c r="AI28" s="475"/>
      <c r="AJ28" s="476"/>
    </row>
    <row r="29" ht="18" customHeight="1">
      <c r="A29" s="259"/>
      <c r="B29" s="260"/>
      <c r="C29" s="260"/>
      <c r="D29" s="261"/>
      <c r="E29" s="332"/>
      <c r="F29" s="333"/>
      <c r="G29" s="333"/>
      <c r="H29" s="333"/>
      <c r="I29" s="334"/>
      <c r="J29" s="637" t="str"/>
      <c r="K29" s="638"/>
      <c r="L29" s="648" t="str">
        <v>运动 (STR)</v>
      </c>
      <c r="M29" s="649"/>
      <c r="N29" s="649"/>
      <c r="O29" s="649"/>
      <c r="P29" s="650"/>
      <c r="Q29" s="660" t="str">
        <f>IF(E12="","",E12+IF(J29="◆",2*$R$12,IF(J29="●",$R$12,0)))</f>
      </c>
      <c r="Z29" s="474"/>
      <c r="AA29" s="475"/>
      <c r="AB29" s="475"/>
      <c r="AC29" s="475"/>
      <c r="AD29" s="475"/>
      <c r="AE29" s="475"/>
      <c r="AF29" s="475"/>
      <c r="AG29" s="475"/>
      <c r="AH29" s="475"/>
      <c r="AI29" s="475"/>
      <c r="AJ29" s="476"/>
    </row>
    <row r="30" ht="18" customHeight="1">
      <c r="J30" s="637" t="str"/>
      <c r="K30" s="638"/>
      <c r="L30" s="648" t="str">
        <v>欺瞒 (CHA)</v>
      </c>
      <c r="M30" s="649"/>
      <c r="N30" s="649"/>
      <c r="O30" s="649"/>
      <c r="P30" s="650"/>
      <c r="Q30" s="660" t="str">
        <f>IF(E47="","",E47+IF(J30="◆",2*$R$12,IF(J30="●",$R$12,0)))</f>
      </c>
      <c r="R30" s="22" t="str">
        <v>生命骰</v>
      </c>
      <c r="S30" s="23"/>
      <c r="T30" s="23"/>
      <c r="U30" s="24"/>
      <c r="V30" s="22" t="str">
        <v>激励</v>
      </c>
      <c r="W30" s="23"/>
      <c r="X30" s="23"/>
      <c r="Y30" s="24"/>
      <c r="Z30" s="474"/>
      <c r="AA30" s="475"/>
      <c r="AB30" s="475"/>
      <c r="AC30" s="475"/>
      <c r="AD30" s="475"/>
      <c r="AE30" s="475"/>
      <c r="AF30" s="475"/>
      <c r="AG30" s="475"/>
      <c r="AH30" s="475"/>
      <c r="AI30" s="475"/>
      <c r="AJ30" s="476"/>
    </row>
    <row r="31" ht="18" customHeight="1">
      <c r="A31" s="213" t="str">
        <v>智力</v>
      </c>
      <c r="B31" s="214"/>
      <c r="C31" s="214"/>
      <c r="D31" s="214"/>
      <c r="E31" s="214"/>
      <c r="F31" s="214"/>
      <c r="G31" s="214"/>
      <c r="H31" s="214"/>
      <c r="I31" s="215"/>
      <c r="J31" s="637" t="str"/>
      <c r="K31" s="638"/>
      <c r="L31" s="648" t="str">
        <v>历史 (INT)</v>
      </c>
      <c r="M31" s="649"/>
      <c r="N31" s="649"/>
      <c r="O31" s="649"/>
      <c r="P31" s="650"/>
      <c r="Q31" s="660" t="str">
        <f>IF(E33="","",E33+IF(J31="◆",2*$R$12,IF(J31="●",$R$12,0)))</f>
      </c>
      <c r="R31" s="529" t="str"/>
      <c r="S31" s="894"/>
      <c r="T31" s="894"/>
      <c r="U31" s="530"/>
      <c r="V31" s="529" t="str"/>
      <c r="W31" s="894"/>
      <c r="X31" s="894"/>
      <c r="Y31" s="530"/>
      <c r="Z31" s="474"/>
      <c r="AA31" s="475"/>
      <c r="AB31" s="475"/>
      <c r="AC31" s="475"/>
      <c r="AD31" s="475"/>
      <c r="AE31" s="475"/>
      <c r="AF31" s="475"/>
      <c r="AG31" s="475"/>
      <c r="AH31" s="475"/>
      <c r="AI31" s="475"/>
      <c r="AJ31" s="476"/>
    </row>
    <row r="32" ht="18" customHeight="1">
      <c r="A32" s="22" t="str">
        <v>属性值</v>
      </c>
      <c r="B32" s="23"/>
      <c r="C32" s="23"/>
      <c r="D32" s="24"/>
      <c r="E32" s="22" t="str">
        <v>调整值</v>
      </c>
      <c r="F32" s="23"/>
      <c r="G32" s="23"/>
      <c r="H32" s="23"/>
      <c r="I32" s="24"/>
      <c r="J32" s="637" t="str"/>
      <c r="K32" s="638"/>
      <c r="L32" s="648" t="str">
        <v>洞悉 (WIS)</v>
      </c>
      <c r="M32" s="649"/>
      <c r="N32" s="649"/>
      <c r="O32" s="649"/>
      <c r="P32" s="650"/>
      <c r="Q32" s="660" t="str">
        <f>IF(E40="","",E40+IF(J32="◆",2*$R$12,IF(J32="●",$R$12,0)))</f>
      </c>
      <c r="R32" s="895"/>
      <c r="S32" s="896"/>
      <c r="T32" s="896"/>
      <c r="U32" s="897"/>
      <c r="V32" s="895"/>
      <c r="W32" s="896"/>
      <c r="X32" s="896"/>
      <c r="Y32" s="897"/>
      <c r="Z32" s="474"/>
      <c r="AA32" s="475"/>
      <c r="AB32" s="475"/>
      <c r="AC32" s="475"/>
      <c r="AD32" s="475"/>
      <c r="AE32" s="475"/>
      <c r="AF32" s="475"/>
      <c r="AG32" s="475"/>
      <c r="AH32" s="475"/>
      <c r="AI32" s="475"/>
      <c r="AJ32" s="476"/>
    </row>
    <row r="33" ht="18" customHeight="1">
      <c r="A33" s="253" t="str"/>
      <c r="B33" s="254"/>
      <c r="C33" s="254"/>
      <c r="D33" s="255"/>
      <c r="E33" s="326" t="str">
        <f>IF(A33="","",INT((A33-10)/2))</f>
      </c>
      <c r="F33" s="327"/>
      <c r="G33" s="327"/>
      <c r="H33" s="327"/>
      <c r="I33" s="328"/>
      <c r="J33" s="637" t="str"/>
      <c r="K33" s="638"/>
      <c r="L33" s="648" t="str">
        <v>威吓 (CHA)</v>
      </c>
      <c r="M33" s="649"/>
      <c r="N33" s="649"/>
      <c r="O33" s="649"/>
      <c r="P33" s="650"/>
      <c r="Q33" s="660" t="str">
        <f>IF(E47="","",E47+IF(J33="◆",2*$R$12,IF(J33="●",$R$12,0)))</f>
      </c>
      <c r="R33" s="895"/>
      <c r="S33" s="896"/>
      <c r="T33" s="896"/>
      <c r="U33" s="897"/>
      <c r="V33" s="895"/>
      <c r="W33" s="896"/>
      <c r="X33" s="896"/>
      <c r="Y33" s="897"/>
      <c r="Z33" s="477"/>
      <c r="AA33" s="478"/>
      <c r="AB33" s="478"/>
      <c r="AC33" s="478"/>
      <c r="AD33" s="478"/>
      <c r="AE33" s="478"/>
      <c r="AF33" s="478"/>
      <c r="AG33" s="478"/>
      <c r="AH33" s="478"/>
      <c r="AI33" s="478"/>
      <c r="AJ33" s="479"/>
    </row>
    <row r="34" ht="18" customHeight="1">
      <c r="A34" s="256"/>
      <c r="B34" s="257"/>
      <c r="C34" s="257"/>
      <c r="D34" s="258"/>
      <c r="E34" s="329"/>
      <c r="F34" s="330"/>
      <c r="G34" s="330"/>
      <c r="H34" s="330"/>
      <c r="I34" s="331"/>
      <c r="J34" s="637" t="str"/>
      <c r="K34" s="638"/>
      <c r="L34" s="648" t="str">
        <v>调查 (INT)</v>
      </c>
      <c r="M34" s="649"/>
      <c r="N34" s="649"/>
      <c r="O34" s="649"/>
      <c r="P34" s="650"/>
      <c r="Q34" s="660" t="str">
        <f>IF(E33="","",E33+IF(J34="◆",2*$R$12,IF(J34="●",$R$12,0)))</f>
      </c>
      <c r="R34" s="531"/>
      <c r="S34" s="898"/>
      <c r="T34" s="898"/>
      <c r="U34" s="532"/>
      <c r="V34" s="531"/>
      <c r="W34" s="898"/>
      <c r="X34" s="898"/>
      <c r="Y34" s="532"/>
    </row>
    <row r="35" ht="18" customHeight="1">
      <c r="A35" s="256"/>
      <c r="B35" s="257"/>
      <c r="C35" s="257"/>
      <c r="D35" s="258"/>
      <c r="E35" s="329"/>
      <c r="F35" s="330"/>
      <c r="G35" s="330"/>
      <c r="H35" s="330"/>
      <c r="I35" s="331"/>
      <c r="J35" s="637" t="str"/>
      <c r="K35" s="638"/>
      <c r="L35" s="648" t="str">
        <v>医药 (WIS)</v>
      </c>
      <c r="M35" s="649"/>
      <c r="N35" s="649"/>
      <c r="O35" s="649"/>
      <c r="P35" s="650"/>
      <c r="Q35" s="660" t="str">
        <f>IF(E40="","",E40+IF(J35="◆",2*$R$12,IF(J35="●",$R$12,0)))</f>
      </c>
      <c r="Z35" s="22" t="str">
        <v>羁绊</v>
      </c>
      <c r="AA35" s="23"/>
      <c r="AB35" s="23"/>
      <c r="AC35" s="23"/>
      <c r="AD35" s="23"/>
      <c r="AE35" s="23"/>
      <c r="AF35" s="23"/>
      <c r="AG35" s="23"/>
      <c r="AH35" s="23"/>
      <c r="AI35" s="23"/>
      <c r="AJ35" s="24"/>
    </row>
    <row r="36" ht="18" customHeight="1">
      <c r="A36" s="259"/>
      <c r="B36" s="260"/>
      <c r="C36" s="260"/>
      <c r="D36" s="261"/>
      <c r="E36" s="332"/>
      <c r="F36" s="333"/>
      <c r="G36" s="333"/>
      <c r="H36" s="333"/>
      <c r="I36" s="334"/>
      <c r="J36" s="637" t="str"/>
      <c r="K36" s="638"/>
      <c r="L36" s="648" t="str">
        <v>自然 (INT)</v>
      </c>
      <c r="M36" s="649"/>
      <c r="N36" s="649"/>
      <c r="O36" s="649"/>
      <c r="P36" s="650"/>
      <c r="Q36" s="660" t="str">
        <f>IF(E33="","",E33+IF(J36="◆",2*$R$12,IF(J36="●",$R$12,0)))</f>
      </c>
      <c r="R36" s="213" t="str">
        <v>死亡豁免</v>
      </c>
      <c r="S36" s="214"/>
      <c r="T36" s="214"/>
      <c r="U36" s="214"/>
      <c r="V36" s="214"/>
      <c r="W36" s="214"/>
      <c r="X36" s="214"/>
      <c r="Y36" s="215"/>
      <c r="Z36" s="471" t="str"/>
      <c r="AA36" s="472"/>
      <c r="AB36" s="472"/>
      <c r="AC36" s="472"/>
      <c r="AD36" s="472"/>
      <c r="AE36" s="472"/>
      <c r="AF36" s="472"/>
      <c r="AG36" s="472"/>
      <c r="AH36" s="472"/>
      <c r="AI36" s="472"/>
      <c r="AJ36" s="473"/>
    </row>
    <row r="37" ht="18" customHeight="1">
      <c r="J37" s="637" t="str"/>
      <c r="K37" s="638"/>
      <c r="L37" s="648" t="str">
        <v>察觉 (WIS)</v>
      </c>
      <c r="M37" s="649"/>
      <c r="N37" s="649"/>
      <c r="O37" s="649"/>
      <c r="P37" s="650"/>
      <c r="Q37" s="660" t="str">
        <f>IF(E40="","",E40+IF(J37="◆",2*$R$12,IF(J37="●",$R$12,0)))</f>
      </c>
      <c r="R37" s="22" t="str">
        <v>成功次数（0-3）</v>
      </c>
      <c r="S37" s="23"/>
      <c r="T37" s="23"/>
      <c r="U37" s="24"/>
      <c r="V37" s="22" t="str">
        <v>失败次数（0-3）</v>
      </c>
      <c r="W37" s="23"/>
      <c r="X37" s="23"/>
      <c r="Y37" s="24"/>
      <c r="Z37" s="474"/>
      <c r="AA37" s="475"/>
      <c r="AB37" s="475"/>
      <c r="AC37" s="475"/>
      <c r="AD37" s="475"/>
      <c r="AE37" s="475"/>
      <c r="AF37" s="475"/>
      <c r="AG37" s="475"/>
      <c r="AH37" s="475"/>
      <c r="AI37" s="475"/>
      <c r="AJ37" s="476"/>
    </row>
    <row r="38" ht="18" customHeight="1">
      <c r="A38" s="213" t="str">
        <v>感知</v>
      </c>
      <c r="B38" s="214"/>
      <c r="C38" s="214"/>
      <c r="D38" s="214"/>
      <c r="E38" s="214"/>
      <c r="F38" s="214"/>
      <c r="G38" s="214"/>
      <c r="H38" s="214"/>
      <c r="I38" s="215"/>
      <c r="J38" s="637" t="str"/>
      <c r="K38" s="638"/>
      <c r="L38" s="648" t="str">
        <v>表演 (CHA)</v>
      </c>
      <c r="M38" s="649"/>
      <c r="N38" s="649"/>
      <c r="O38" s="649"/>
      <c r="P38" s="650"/>
      <c r="Q38" s="660" t="str">
        <f>IF(E47="","",E47+IF(J38="◆",2*$R$12,IF(J38="●",$R$12,0)))</f>
      </c>
      <c r="R38" s="529" t="str"/>
      <c r="S38" s="894"/>
      <c r="T38" s="894"/>
      <c r="U38" s="530"/>
      <c r="V38" s="529" t="str"/>
      <c r="W38" s="894"/>
      <c r="X38" s="894"/>
      <c r="Y38" s="530"/>
      <c r="Z38" s="474"/>
      <c r="AA38" s="475"/>
      <c r="AB38" s="475"/>
      <c r="AC38" s="475"/>
      <c r="AD38" s="475"/>
      <c r="AE38" s="475"/>
      <c r="AF38" s="475"/>
      <c r="AG38" s="475"/>
      <c r="AH38" s="475"/>
      <c r="AI38" s="475"/>
      <c r="AJ38" s="476"/>
    </row>
    <row r="39" ht="18" customHeight="1">
      <c r="A39" s="22" t="str">
        <v>属性值</v>
      </c>
      <c r="B39" s="23"/>
      <c r="C39" s="23"/>
      <c r="D39" s="24"/>
      <c r="E39" s="22" t="str">
        <v>调整值</v>
      </c>
      <c r="F39" s="23"/>
      <c r="G39" s="23"/>
      <c r="H39" s="23"/>
      <c r="I39" s="24"/>
      <c r="J39" s="637" t="str"/>
      <c r="K39" s="638"/>
      <c r="L39" s="648" t="str">
        <v>游说 (CHA)</v>
      </c>
      <c r="M39" s="649"/>
      <c r="N39" s="649"/>
      <c r="O39" s="649"/>
      <c r="P39" s="650"/>
      <c r="Q39" s="660" t="str">
        <f>IF(E47="","",E47+IF(J39="◆",2*$R$12,IF(J39="●",$R$12,0)))</f>
      </c>
      <c r="R39" s="895"/>
      <c r="S39" s="896"/>
      <c r="T39" s="896"/>
      <c r="U39" s="897"/>
      <c r="V39" s="895"/>
      <c r="W39" s="896"/>
      <c r="X39" s="896"/>
      <c r="Y39" s="897"/>
      <c r="Z39" s="474"/>
      <c r="AA39" s="475"/>
      <c r="AB39" s="475"/>
      <c r="AC39" s="475"/>
      <c r="AD39" s="475"/>
      <c r="AE39" s="475"/>
      <c r="AF39" s="475"/>
      <c r="AG39" s="475"/>
      <c r="AH39" s="475"/>
      <c r="AI39" s="475"/>
      <c r="AJ39" s="476"/>
    </row>
    <row r="40" ht="18" customHeight="1">
      <c r="A40" s="253" t="str"/>
      <c r="B40" s="254"/>
      <c r="C40" s="254"/>
      <c r="D40" s="255"/>
      <c r="E40" s="326" t="str">
        <f>IF(A40="","",INT((A40-10)/2))</f>
      </c>
      <c r="F40" s="327"/>
      <c r="G40" s="327"/>
      <c r="H40" s="327"/>
      <c r="I40" s="328"/>
      <c r="J40" s="637" t="str"/>
      <c r="K40" s="638"/>
      <c r="L40" s="648" t="str">
        <v>宗教 (INT)</v>
      </c>
      <c r="M40" s="649"/>
      <c r="N40" s="649"/>
      <c r="O40" s="649"/>
      <c r="P40" s="650"/>
      <c r="Q40" s="660" t="str">
        <f>IF(E33="","",E33+IF(J40="◆",2*$R$12,IF(J40="●",$R$12,0)))</f>
      </c>
      <c r="R40" s="531"/>
      <c r="S40" s="898"/>
      <c r="T40" s="898"/>
      <c r="U40" s="532"/>
      <c r="V40" s="531"/>
      <c r="W40" s="898"/>
      <c r="X40" s="898"/>
      <c r="Y40" s="532"/>
      <c r="Z40" s="474"/>
      <c r="AA40" s="475"/>
      <c r="AB40" s="475"/>
      <c r="AC40" s="475"/>
      <c r="AD40" s="475"/>
      <c r="AE40" s="475"/>
      <c r="AF40" s="475"/>
      <c r="AG40" s="475"/>
      <c r="AH40" s="475"/>
      <c r="AI40" s="475"/>
      <c r="AJ40" s="476"/>
    </row>
    <row r="41" ht="18" customHeight="1">
      <c r="A41" s="256"/>
      <c r="B41" s="257"/>
      <c r="C41" s="257"/>
      <c r="D41" s="258"/>
      <c r="E41" s="329"/>
      <c r="F41" s="330"/>
      <c r="G41" s="330"/>
      <c r="H41" s="330"/>
      <c r="I41" s="331"/>
      <c r="J41" s="637" t="str"/>
      <c r="K41" s="638"/>
      <c r="L41" s="648" t="str">
        <v>巧手 (DEX)</v>
      </c>
      <c r="M41" s="649"/>
      <c r="N41" s="649"/>
      <c r="O41" s="649"/>
      <c r="P41" s="650"/>
      <c r="Q41" s="660" t="str">
        <f>IF(E19="","",E19+IF(J41="◆",2*$R$12,IF(J41="●",$R$12,0)))</f>
      </c>
      <c r="Z41" s="474"/>
      <c r="AA41" s="475"/>
      <c r="AB41" s="475"/>
      <c r="AC41" s="475"/>
      <c r="AD41" s="475"/>
      <c r="AE41" s="475"/>
      <c r="AF41" s="475"/>
      <c r="AG41" s="475"/>
      <c r="AH41" s="475"/>
      <c r="AI41" s="475"/>
      <c r="AJ41" s="476"/>
    </row>
    <row r="42" ht="18" customHeight="1">
      <c r="A42" s="256"/>
      <c r="B42" s="257"/>
      <c r="C42" s="257"/>
      <c r="D42" s="258"/>
      <c r="E42" s="329"/>
      <c r="F42" s="330"/>
      <c r="G42" s="330"/>
      <c r="H42" s="330"/>
      <c r="I42" s="331"/>
      <c r="J42" s="637" t="str"/>
      <c r="K42" s="638"/>
      <c r="L42" s="648" t="str">
        <v>隐匿 (DEX)</v>
      </c>
      <c r="M42" s="649"/>
      <c r="N42" s="649"/>
      <c r="O42" s="649"/>
      <c r="P42" s="650"/>
      <c r="Q42" s="660" t="str">
        <f>IF(E19="","",E19+IF(J42="◆",2*$R$12,IF(J42="●",$R$12,0)))</f>
      </c>
      <c r="R42" s="213" t="str">
        <v>特性、专长与资源</v>
      </c>
      <c r="S42" s="214"/>
      <c r="T42" s="214"/>
      <c r="U42" s="214"/>
      <c r="V42" s="214"/>
      <c r="W42" s="214"/>
      <c r="X42" s="214"/>
      <c r="Y42" s="215"/>
      <c r="Z42" s="474"/>
      <c r="AA42" s="475"/>
      <c r="AB42" s="475"/>
      <c r="AC42" s="475"/>
      <c r="AD42" s="475"/>
      <c r="AE42" s="475"/>
      <c r="AF42" s="475"/>
      <c r="AG42" s="475"/>
      <c r="AH42" s="475"/>
      <c r="AI42" s="475"/>
      <c r="AJ42" s="476"/>
    </row>
    <row r="43" ht="18" customHeight="1">
      <c r="A43" s="259"/>
      <c r="B43" s="260"/>
      <c r="C43" s="260"/>
      <c r="D43" s="261"/>
      <c r="E43" s="332"/>
      <c r="F43" s="333"/>
      <c r="G43" s="333"/>
      <c r="H43" s="333"/>
      <c r="I43" s="334"/>
      <c r="J43" s="637" t="str"/>
      <c r="K43" s="638"/>
      <c r="L43" s="648" t="str">
        <v>求生 (WIS)</v>
      </c>
      <c r="M43" s="649"/>
      <c r="N43" s="649"/>
      <c r="O43" s="649"/>
      <c r="P43" s="650"/>
      <c r="Q43" s="660" t="str">
        <f>IF(E40="","",E40+IF(J43="◆",2*$R$12,IF(J43="●",$R$12,0)))</f>
      </c>
      <c r="R43" s="471" t="str"/>
      <c r="S43" s="472"/>
      <c r="T43" s="472"/>
      <c r="U43" s="472"/>
      <c r="V43" s="472"/>
      <c r="W43" s="472"/>
      <c r="X43" s="472"/>
      <c r="Y43" s="473"/>
      <c r="Z43" s="474"/>
      <c r="AA43" s="475"/>
      <c r="AB43" s="475"/>
      <c r="AC43" s="475"/>
      <c r="AD43" s="475"/>
      <c r="AE43" s="475"/>
      <c r="AF43" s="475"/>
      <c r="AG43" s="475"/>
      <c r="AH43" s="475"/>
      <c r="AI43" s="475"/>
      <c r="AJ43" s="476"/>
    </row>
    <row r="44" ht="18" customHeight="1">
      <c r="R44" s="474"/>
      <c r="S44" s="475"/>
      <c r="T44" s="475"/>
      <c r="U44" s="475"/>
      <c r="V44" s="475"/>
      <c r="W44" s="475"/>
      <c r="X44" s="475"/>
      <c r="Y44" s="476"/>
      <c r="Z44" s="474"/>
      <c r="AA44" s="475"/>
      <c r="AB44" s="475"/>
      <c r="AC44" s="475"/>
      <c r="AD44" s="475"/>
      <c r="AE44" s="475"/>
      <c r="AF44" s="475"/>
      <c r="AG44" s="475"/>
      <c r="AH44" s="475"/>
      <c r="AI44" s="475"/>
      <c r="AJ44" s="476"/>
    </row>
    <row r="45" ht="18" customHeight="1">
      <c r="A45" s="213" t="str">
        <v>魅力</v>
      </c>
      <c r="B45" s="214"/>
      <c r="C45" s="214"/>
      <c r="D45" s="214"/>
      <c r="E45" s="214"/>
      <c r="F45" s="214"/>
      <c r="G45" s="214"/>
      <c r="H45" s="214"/>
      <c r="I45" s="215"/>
      <c r="R45" s="474"/>
      <c r="S45" s="475"/>
      <c r="T45" s="475"/>
      <c r="U45" s="475"/>
      <c r="V45" s="475"/>
      <c r="W45" s="475"/>
      <c r="X45" s="475"/>
      <c r="Y45" s="476"/>
      <c r="Z45" s="477"/>
      <c r="AA45" s="478"/>
      <c r="AB45" s="478"/>
      <c r="AC45" s="478"/>
      <c r="AD45" s="478"/>
      <c r="AE45" s="478"/>
      <c r="AF45" s="478"/>
      <c r="AG45" s="478"/>
      <c r="AH45" s="478"/>
      <c r="AI45" s="478"/>
      <c r="AJ45" s="479"/>
    </row>
    <row r="46" ht="18" customHeight="1">
      <c r="A46" s="22" t="str">
        <v>属性值</v>
      </c>
      <c r="B46" s="23"/>
      <c r="C46" s="23"/>
      <c r="D46" s="24"/>
      <c r="E46" s="22" t="str">
        <v>调整值</v>
      </c>
      <c r="F46" s="23"/>
      <c r="G46" s="23"/>
      <c r="H46" s="23"/>
      <c r="I46" s="24"/>
      <c r="R46" s="474"/>
      <c r="S46" s="475"/>
      <c r="T46" s="475"/>
      <c r="U46" s="475"/>
      <c r="V46" s="475"/>
      <c r="W46" s="475"/>
      <c r="X46" s="475"/>
      <c r="Y46" s="476"/>
    </row>
    <row r="47" ht="18" customHeight="1">
      <c r="A47" s="253" t="str"/>
      <c r="B47" s="254"/>
      <c r="C47" s="254"/>
      <c r="D47" s="255"/>
      <c r="E47" s="326" t="str">
        <f>IF(A47="","",INT((A47-10)/2))</f>
      </c>
      <c r="F47" s="327"/>
      <c r="G47" s="327"/>
      <c r="H47" s="327"/>
      <c r="I47" s="328"/>
      <c r="J47" s="213" t="str">
        <v>钱币</v>
      </c>
      <c r="K47" s="214"/>
      <c r="L47" s="214"/>
      <c r="M47" s="214"/>
      <c r="N47" s="214"/>
      <c r="O47" s="214"/>
      <c r="P47" s="214"/>
      <c r="Q47" s="215"/>
      <c r="R47" s="474"/>
      <c r="S47" s="475"/>
      <c r="T47" s="475"/>
      <c r="U47" s="475"/>
      <c r="V47" s="475"/>
      <c r="W47" s="475"/>
      <c r="X47" s="475"/>
      <c r="Y47" s="476"/>
      <c r="Z47" s="22" t="str">
        <v>缺点</v>
      </c>
      <c r="AA47" s="23"/>
      <c r="AB47" s="23"/>
      <c r="AC47" s="23"/>
      <c r="AD47" s="23"/>
      <c r="AE47" s="23"/>
      <c r="AF47" s="23"/>
      <c r="AG47" s="23"/>
      <c r="AH47" s="23"/>
      <c r="AI47" s="23"/>
      <c r="AJ47" s="24"/>
    </row>
    <row r="48" ht="18" customHeight="1">
      <c r="A48" s="256"/>
      <c r="B48" s="257"/>
      <c r="C48" s="257"/>
      <c r="D48" s="258"/>
      <c r="E48" s="329"/>
      <c r="F48" s="330"/>
      <c r="G48" s="330"/>
      <c r="H48" s="330"/>
      <c r="I48" s="331"/>
      <c r="J48" s="964" t="str">
        <v>CP</v>
      </c>
      <c r="K48" s="965"/>
      <c r="L48" s="966"/>
      <c r="M48" s="983" t="str"/>
      <c r="N48" s="984"/>
      <c r="O48" s="984"/>
      <c r="P48" s="984"/>
      <c r="Q48" s="985"/>
      <c r="R48" s="474"/>
      <c r="S48" s="475"/>
      <c r="T48" s="475"/>
      <c r="U48" s="475"/>
      <c r="V48" s="475"/>
      <c r="W48" s="475"/>
      <c r="X48" s="475"/>
      <c r="Y48" s="476"/>
      <c r="Z48" s="471" t="str"/>
      <c r="AA48" s="472"/>
      <c r="AB48" s="472"/>
      <c r="AC48" s="472"/>
      <c r="AD48" s="472"/>
      <c r="AE48" s="472"/>
      <c r="AF48" s="472"/>
      <c r="AG48" s="472"/>
      <c r="AH48" s="472"/>
      <c r="AI48" s="472"/>
      <c r="AJ48" s="473"/>
    </row>
    <row r="49" ht="18" customHeight="1">
      <c r="A49" s="256"/>
      <c r="B49" s="257"/>
      <c r="C49" s="257"/>
      <c r="D49" s="258"/>
      <c r="E49" s="329"/>
      <c r="F49" s="330"/>
      <c r="G49" s="330"/>
      <c r="H49" s="330"/>
      <c r="I49" s="331"/>
      <c r="R49" s="474"/>
      <c r="S49" s="475"/>
      <c r="T49" s="475"/>
      <c r="U49" s="475"/>
      <c r="V49" s="475"/>
      <c r="W49" s="475"/>
      <c r="X49" s="475"/>
      <c r="Y49" s="476"/>
      <c r="Z49" s="474"/>
      <c r="AA49" s="475"/>
      <c r="AB49" s="475"/>
      <c r="AC49" s="475"/>
      <c r="AD49" s="475"/>
      <c r="AE49" s="475"/>
      <c r="AF49" s="475"/>
      <c r="AG49" s="475"/>
      <c r="AH49" s="475"/>
      <c r="AI49" s="475"/>
      <c r="AJ49" s="476"/>
    </row>
    <row r="50" ht="18" customHeight="1">
      <c r="A50" s="259"/>
      <c r="B50" s="260"/>
      <c r="C50" s="260"/>
      <c r="D50" s="261"/>
      <c r="E50" s="332"/>
      <c r="F50" s="333"/>
      <c r="G50" s="333"/>
      <c r="H50" s="333"/>
      <c r="I50" s="334"/>
      <c r="J50" s="964" t="str">
        <v>SP</v>
      </c>
      <c r="K50" s="965"/>
      <c r="L50" s="966"/>
      <c r="M50" s="983" t="str"/>
      <c r="N50" s="984"/>
      <c r="O50" s="984"/>
      <c r="P50" s="984"/>
      <c r="Q50" s="985"/>
      <c r="R50" s="474"/>
      <c r="S50" s="475"/>
      <c r="T50" s="475"/>
      <c r="U50" s="475"/>
      <c r="V50" s="475"/>
      <c r="W50" s="475"/>
      <c r="X50" s="475"/>
      <c r="Y50" s="476"/>
      <c r="Z50" s="474"/>
      <c r="AA50" s="475"/>
      <c r="AB50" s="475"/>
      <c r="AC50" s="475"/>
      <c r="AD50" s="475"/>
      <c r="AE50" s="475"/>
      <c r="AF50" s="475"/>
      <c r="AG50" s="475"/>
      <c r="AH50" s="475"/>
      <c r="AI50" s="475"/>
      <c r="AJ50" s="476"/>
    </row>
    <row r="51" ht="18" customHeight="1">
      <c r="R51" s="474"/>
      <c r="S51" s="475"/>
      <c r="T51" s="475"/>
      <c r="U51" s="475"/>
      <c r="V51" s="475"/>
      <c r="W51" s="475"/>
      <c r="X51" s="475"/>
      <c r="Y51" s="476"/>
      <c r="Z51" s="474"/>
      <c r="AA51" s="475"/>
      <c r="AB51" s="475"/>
      <c r="AC51" s="475"/>
      <c r="AD51" s="475"/>
      <c r="AE51" s="475"/>
      <c r="AF51" s="475"/>
      <c r="AG51" s="475"/>
      <c r="AH51" s="475"/>
      <c r="AI51" s="475"/>
      <c r="AJ51" s="476"/>
    </row>
    <row r="52" ht="18" customHeight="1">
      <c r="J52" s="964" t="str">
        <v>EP</v>
      </c>
      <c r="K52" s="965"/>
      <c r="L52" s="966"/>
      <c r="M52" s="983" t="str"/>
      <c r="N52" s="984"/>
      <c r="O52" s="984"/>
      <c r="P52" s="984"/>
      <c r="Q52" s="985"/>
      <c r="R52" s="474"/>
      <c r="S52" s="475"/>
      <c r="T52" s="475"/>
      <c r="U52" s="475"/>
      <c r="V52" s="475"/>
      <c r="W52" s="475"/>
      <c r="X52" s="475"/>
      <c r="Y52" s="476"/>
      <c r="Z52" s="474"/>
      <c r="AA52" s="475"/>
      <c r="AB52" s="475"/>
      <c r="AC52" s="475"/>
      <c r="AD52" s="475"/>
      <c r="AE52" s="475"/>
      <c r="AF52" s="475"/>
      <c r="AG52" s="475"/>
      <c r="AH52" s="475"/>
      <c r="AI52" s="475"/>
      <c r="AJ52" s="476"/>
    </row>
    <row r="53" ht="18" customHeight="1">
      <c r="A53" s="213" t="str">
        <v>被动感知（察觉）</v>
      </c>
      <c r="B53" s="214"/>
      <c r="C53" s="214"/>
      <c r="D53" s="214"/>
      <c r="E53" s="214"/>
      <c r="F53" s="214"/>
      <c r="G53" s="214"/>
      <c r="H53" s="214"/>
      <c r="I53" s="215"/>
      <c r="R53" s="474"/>
      <c r="S53" s="475"/>
      <c r="T53" s="475"/>
      <c r="U53" s="475"/>
      <c r="V53" s="475"/>
      <c r="W53" s="475"/>
      <c r="X53" s="475"/>
      <c r="Y53" s="476"/>
      <c r="Z53" s="474"/>
      <c r="AA53" s="475"/>
      <c r="AB53" s="475"/>
      <c r="AC53" s="475"/>
      <c r="AD53" s="475"/>
      <c r="AE53" s="475"/>
      <c r="AF53" s="475"/>
      <c r="AG53" s="475"/>
      <c r="AH53" s="475"/>
      <c r="AI53" s="475"/>
      <c r="AJ53" s="476"/>
    </row>
    <row r="54" ht="18" customHeight="1">
      <c r="A54" s="399" t="str">
        <f>IF(Q37="","",10+Q37)</f>
      </c>
      <c r="B54" s="400"/>
      <c r="C54" s="400"/>
      <c r="D54" s="400"/>
      <c r="E54" s="400"/>
      <c r="F54" s="400"/>
      <c r="G54" s="400"/>
      <c r="H54" s="400"/>
      <c r="I54" s="401"/>
      <c r="J54" s="964" t="str">
        <v>GP</v>
      </c>
      <c r="K54" s="965"/>
      <c r="L54" s="966"/>
      <c r="M54" s="983" t="str"/>
      <c r="N54" s="984"/>
      <c r="O54" s="984"/>
      <c r="P54" s="984"/>
      <c r="Q54" s="985"/>
      <c r="R54" s="474"/>
      <c r="S54" s="475"/>
      <c r="T54" s="475"/>
      <c r="U54" s="475"/>
      <c r="V54" s="475"/>
      <c r="W54" s="475"/>
      <c r="X54" s="475"/>
      <c r="Y54" s="476"/>
      <c r="Z54" s="474"/>
      <c r="AA54" s="475"/>
      <c r="AB54" s="475"/>
      <c r="AC54" s="475"/>
      <c r="AD54" s="475"/>
      <c r="AE54" s="475"/>
      <c r="AF54" s="475"/>
      <c r="AG54" s="475"/>
      <c r="AH54" s="475"/>
      <c r="AI54" s="475"/>
      <c r="AJ54" s="476"/>
    </row>
    <row r="55" ht="18" customHeight="1">
      <c r="A55" s="402"/>
      <c r="B55" s="403"/>
      <c r="C55" s="403"/>
      <c r="D55" s="403"/>
      <c r="E55" s="403"/>
      <c r="F55" s="403"/>
      <c r="G55" s="403"/>
      <c r="H55" s="403"/>
      <c r="I55" s="404"/>
      <c r="R55" s="474"/>
      <c r="S55" s="475"/>
      <c r="T55" s="475"/>
      <c r="U55" s="475"/>
      <c r="V55" s="475"/>
      <c r="W55" s="475"/>
      <c r="X55" s="475"/>
      <c r="Y55" s="476"/>
      <c r="Z55" s="474"/>
      <c r="AA55" s="475"/>
      <c r="AB55" s="475"/>
      <c r="AC55" s="475"/>
      <c r="AD55" s="475"/>
      <c r="AE55" s="475"/>
      <c r="AF55" s="475"/>
      <c r="AG55" s="475"/>
      <c r="AH55" s="475"/>
      <c r="AI55" s="475"/>
      <c r="AJ55" s="476"/>
    </row>
    <row r="56" ht="18" customHeight="1">
      <c r="A56" s="402"/>
      <c r="B56" s="403"/>
      <c r="C56" s="403"/>
      <c r="D56" s="403"/>
      <c r="E56" s="403"/>
      <c r="F56" s="403"/>
      <c r="G56" s="403"/>
      <c r="H56" s="403"/>
      <c r="I56" s="404"/>
      <c r="J56" s="964" t="str">
        <v>PP</v>
      </c>
      <c r="K56" s="965"/>
      <c r="L56" s="966"/>
      <c r="M56" s="983" t="str"/>
      <c r="N56" s="984"/>
      <c r="O56" s="984"/>
      <c r="P56" s="984"/>
      <c r="Q56" s="985"/>
      <c r="R56" s="474"/>
      <c r="S56" s="475"/>
      <c r="T56" s="475"/>
      <c r="U56" s="475"/>
      <c r="V56" s="475"/>
      <c r="W56" s="475"/>
      <c r="X56" s="475"/>
      <c r="Y56" s="476"/>
      <c r="Z56" s="477"/>
      <c r="AA56" s="478"/>
      <c r="AB56" s="478"/>
      <c r="AC56" s="478"/>
      <c r="AD56" s="478"/>
      <c r="AE56" s="478"/>
      <c r="AF56" s="478"/>
      <c r="AG56" s="478"/>
      <c r="AH56" s="478"/>
      <c r="AI56" s="478"/>
      <c r="AJ56" s="479"/>
    </row>
    <row r="57" ht="18" customHeight="1">
      <c r="A57" s="405"/>
      <c r="B57" s="406"/>
      <c r="C57" s="406"/>
      <c r="D57" s="406"/>
      <c r="E57" s="406"/>
      <c r="F57" s="406"/>
      <c r="G57" s="406"/>
      <c r="H57" s="406"/>
      <c r="I57" s="407"/>
      <c r="R57" s="474"/>
      <c r="S57" s="475"/>
      <c r="T57" s="475"/>
      <c r="U57" s="475"/>
      <c r="V57" s="475"/>
      <c r="W57" s="475"/>
      <c r="X57" s="475"/>
      <c r="Y57" s="476"/>
    </row>
    <row r="58" ht="18" customHeight="1">
      <c r="R58" s="474"/>
      <c r="S58" s="475"/>
      <c r="T58" s="475"/>
      <c r="U58" s="475"/>
      <c r="V58" s="475"/>
      <c r="W58" s="475"/>
      <c r="X58" s="475"/>
      <c r="Y58" s="476"/>
      <c r="Z58" s="213" t="str">
        <v>攻击与施法</v>
      </c>
      <c r="AA58" s="214"/>
      <c r="AB58" s="214"/>
      <c r="AC58" s="214"/>
      <c r="AD58" s="214"/>
      <c r="AE58" s="214"/>
      <c r="AF58" s="214"/>
      <c r="AG58" s="214"/>
      <c r="AH58" s="214"/>
      <c r="AI58" s="214"/>
      <c r="AJ58" s="215"/>
    </row>
    <row r="59" ht="18" customHeight="1">
      <c r="A59" s="213" t="str">
        <v>其他熟练项与语言</v>
      </c>
      <c r="B59" s="214"/>
      <c r="C59" s="214"/>
      <c r="D59" s="214"/>
      <c r="E59" s="214"/>
      <c r="F59" s="214"/>
      <c r="G59" s="214"/>
      <c r="H59" s="214"/>
      <c r="I59" s="215"/>
      <c r="J59" s="213" t="str">
        <v>装备 / 随身物品</v>
      </c>
      <c r="K59" s="214"/>
      <c r="L59" s="214"/>
      <c r="M59" s="214"/>
      <c r="N59" s="214"/>
      <c r="O59" s="214"/>
      <c r="P59" s="214"/>
      <c r="Q59" s="215"/>
      <c r="R59" s="474"/>
      <c r="S59" s="475"/>
      <c r="T59" s="475"/>
      <c r="U59" s="475"/>
      <c r="V59" s="475"/>
      <c r="W59" s="475"/>
      <c r="X59" s="475"/>
      <c r="Y59" s="476"/>
      <c r="Z59" s="918" t="str">
        <v>名称</v>
      </c>
      <c r="AA59" s="919"/>
      <c r="AB59" s="919"/>
      <c r="AC59" s="919"/>
      <c r="AD59" s="919"/>
      <c r="AE59" s="919" t="str">
        <v>攻击加值</v>
      </c>
      <c r="AF59" s="919"/>
      <c r="AG59" s="919"/>
      <c r="AH59" s="919" t="str">
        <v>伤害 / 类型</v>
      </c>
      <c r="AI59" s="919"/>
      <c r="AJ59" s="920"/>
    </row>
    <row r="60" ht="18" customHeight="1">
      <c r="A60" s="471" t="str"/>
      <c r="B60" s="472"/>
      <c r="C60" s="472"/>
      <c r="D60" s="472"/>
      <c r="E60" s="472"/>
      <c r="F60" s="472"/>
      <c r="G60" s="472"/>
      <c r="H60" s="472"/>
      <c r="I60" s="473"/>
      <c r="J60" s="471" t="str"/>
      <c r="K60" s="472"/>
      <c r="L60" s="472"/>
      <c r="M60" s="472"/>
      <c r="N60" s="472"/>
      <c r="O60" s="472"/>
      <c r="P60" s="472"/>
      <c r="Q60" s="473"/>
      <c r="R60" s="474"/>
      <c r="S60" s="475"/>
      <c r="T60" s="475"/>
      <c r="U60" s="475"/>
      <c r="V60" s="475"/>
      <c r="W60" s="475"/>
      <c r="X60" s="475"/>
      <c r="Y60" s="476"/>
      <c r="Z60" s="924" t="str"/>
      <c r="AA60" s="925"/>
      <c r="AB60" s="925"/>
      <c r="AC60" s="925"/>
      <c r="AD60" s="926"/>
      <c r="AE60" s="942" t="str"/>
      <c r="AF60" s="943"/>
      <c r="AG60" s="944"/>
      <c r="AH60" s="924" t="str"/>
      <c r="AI60" s="925"/>
      <c r="AJ60" s="926"/>
    </row>
    <row r="61" ht="18" customHeight="1">
      <c r="A61" s="474"/>
      <c r="B61" s="475"/>
      <c r="C61" s="475"/>
      <c r="D61" s="475"/>
      <c r="E61" s="475"/>
      <c r="F61" s="475"/>
      <c r="G61" s="475"/>
      <c r="H61" s="475"/>
      <c r="I61" s="476"/>
      <c r="J61" s="474"/>
      <c r="K61" s="475"/>
      <c r="L61" s="475"/>
      <c r="M61" s="475"/>
      <c r="N61" s="475"/>
      <c r="O61" s="475"/>
      <c r="P61" s="475"/>
      <c r="Q61" s="476"/>
      <c r="R61" s="474"/>
      <c r="S61" s="475"/>
      <c r="T61" s="475"/>
      <c r="U61" s="475"/>
      <c r="V61" s="475"/>
      <c r="W61" s="475"/>
      <c r="X61" s="475"/>
      <c r="Y61" s="476"/>
      <c r="Z61" s="927"/>
      <c r="AA61" s="928"/>
      <c r="AB61" s="928"/>
      <c r="AC61" s="928"/>
      <c r="AD61" s="929"/>
      <c r="AE61" s="945"/>
      <c r="AF61" s="946"/>
      <c r="AG61" s="947"/>
      <c r="AH61" s="927"/>
      <c r="AI61" s="928"/>
      <c r="AJ61" s="929"/>
    </row>
    <row r="62" ht="18" customHeight="1">
      <c r="A62" s="474"/>
      <c r="B62" s="475"/>
      <c r="C62" s="475"/>
      <c r="D62" s="475"/>
      <c r="E62" s="475"/>
      <c r="F62" s="475"/>
      <c r="G62" s="475"/>
      <c r="H62" s="475"/>
      <c r="I62" s="476"/>
      <c r="J62" s="474"/>
      <c r="K62" s="475"/>
      <c r="L62" s="475"/>
      <c r="M62" s="475"/>
      <c r="N62" s="475"/>
      <c r="O62" s="475"/>
      <c r="P62" s="475"/>
      <c r="Q62" s="476"/>
      <c r="R62" s="474"/>
      <c r="S62" s="475"/>
      <c r="T62" s="475"/>
      <c r="U62" s="475"/>
      <c r="V62" s="475"/>
      <c r="W62" s="475"/>
      <c r="X62" s="475"/>
      <c r="Y62" s="476"/>
    </row>
    <row r="63" ht="18" customHeight="1">
      <c r="A63" s="474"/>
      <c r="B63" s="475"/>
      <c r="C63" s="475"/>
      <c r="D63" s="475"/>
      <c r="E63" s="475"/>
      <c r="F63" s="475"/>
      <c r="G63" s="475"/>
      <c r="H63" s="475"/>
      <c r="I63" s="476"/>
      <c r="J63" s="474"/>
      <c r="K63" s="475"/>
      <c r="L63" s="475"/>
      <c r="M63" s="475"/>
      <c r="N63" s="475"/>
      <c r="O63" s="475"/>
      <c r="P63" s="475"/>
      <c r="Q63" s="476"/>
      <c r="R63" s="474"/>
      <c r="S63" s="475"/>
      <c r="T63" s="475"/>
      <c r="U63" s="475"/>
      <c r="V63" s="475"/>
      <c r="W63" s="475"/>
      <c r="X63" s="475"/>
      <c r="Y63" s="476"/>
      <c r="Z63" s="924" t="str"/>
      <c r="AA63" s="925"/>
      <c r="AB63" s="925"/>
      <c r="AC63" s="925"/>
      <c r="AD63" s="926"/>
      <c r="AE63" s="942" t="str"/>
      <c r="AF63" s="943"/>
      <c r="AG63" s="944"/>
      <c r="AH63" s="924" t="str"/>
      <c r="AI63" s="925"/>
      <c r="AJ63" s="926"/>
    </row>
    <row r="64" ht="18" customHeight="1">
      <c r="A64" s="474"/>
      <c r="B64" s="475"/>
      <c r="C64" s="475"/>
      <c r="D64" s="475"/>
      <c r="E64" s="475"/>
      <c r="F64" s="475"/>
      <c r="G64" s="475"/>
      <c r="H64" s="475"/>
      <c r="I64" s="476"/>
      <c r="J64" s="474"/>
      <c r="K64" s="475"/>
      <c r="L64" s="475"/>
      <c r="M64" s="475"/>
      <c r="N64" s="475"/>
      <c r="O64" s="475"/>
      <c r="P64" s="475"/>
      <c r="Q64" s="476"/>
      <c r="R64" s="474"/>
      <c r="S64" s="475"/>
      <c r="T64" s="475"/>
      <c r="U64" s="475"/>
      <c r="V64" s="475"/>
      <c r="W64" s="475"/>
      <c r="X64" s="475"/>
      <c r="Y64" s="476"/>
      <c r="Z64" s="927"/>
      <c r="AA64" s="928"/>
      <c r="AB64" s="928"/>
      <c r="AC64" s="928"/>
      <c r="AD64" s="929"/>
      <c r="AE64" s="945"/>
      <c r="AF64" s="946"/>
      <c r="AG64" s="947"/>
      <c r="AH64" s="927"/>
      <c r="AI64" s="928"/>
      <c r="AJ64" s="929"/>
    </row>
    <row r="65" ht="18" customHeight="1">
      <c r="A65" s="474"/>
      <c r="B65" s="475"/>
      <c r="C65" s="475"/>
      <c r="D65" s="475"/>
      <c r="E65" s="475"/>
      <c r="F65" s="475"/>
      <c r="G65" s="475"/>
      <c r="H65" s="475"/>
      <c r="I65" s="476"/>
      <c r="J65" s="474"/>
      <c r="K65" s="475"/>
      <c r="L65" s="475"/>
      <c r="M65" s="475"/>
      <c r="N65" s="475"/>
      <c r="O65" s="475"/>
      <c r="P65" s="475"/>
      <c r="Q65" s="476"/>
      <c r="R65" s="474"/>
      <c r="S65" s="475"/>
      <c r="T65" s="475"/>
      <c r="U65" s="475"/>
      <c r="V65" s="475"/>
      <c r="W65" s="475"/>
      <c r="X65" s="475"/>
      <c r="Y65" s="476"/>
    </row>
    <row r="66" ht="18" customHeight="1">
      <c r="A66" s="474"/>
      <c r="B66" s="475"/>
      <c r="C66" s="475"/>
      <c r="D66" s="475"/>
      <c r="E66" s="475"/>
      <c r="F66" s="475"/>
      <c r="G66" s="475"/>
      <c r="H66" s="475"/>
      <c r="I66" s="476"/>
      <c r="J66" s="474"/>
      <c r="K66" s="475"/>
      <c r="L66" s="475"/>
      <c r="M66" s="475"/>
      <c r="N66" s="475"/>
      <c r="O66" s="475"/>
      <c r="P66" s="475"/>
      <c r="Q66" s="476"/>
      <c r="R66" s="474"/>
      <c r="S66" s="475"/>
      <c r="T66" s="475"/>
      <c r="U66" s="475"/>
      <c r="V66" s="475"/>
      <c r="W66" s="475"/>
      <c r="X66" s="475"/>
      <c r="Y66" s="476"/>
      <c r="Z66" s="924" t="str"/>
      <c r="AA66" s="925"/>
      <c r="AB66" s="925"/>
      <c r="AC66" s="925"/>
      <c r="AD66" s="926"/>
      <c r="AE66" s="942" t="str"/>
      <c r="AF66" s="943"/>
      <c r="AG66" s="944"/>
      <c r="AH66" s="924" t="str"/>
      <c r="AI66" s="925"/>
      <c r="AJ66" s="926"/>
    </row>
    <row r="67" ht="18" customHeight="1">
      <c r="A67" s="474"/>
      <c r="B67" s="475"/>
      <c r="C67" s="475"/>
      <c r="D67" s="475"/>
      <c r="E67" s="475"/>
      <c r="F67" s="475"/>
      <c r="G67" s="475"/>
      <c r="H67" s="475"/>
      <c r="I67" s="476"/>
      <c r="J67" s="474"/>
      <c r="K67" s="475"/>
      <c r="L67" s="475"/>
      <c r="M67" s="475"/>
      <c r="N67" s="475"/>
      <c r="O67" s="475"/>
      <c r="P67" s="475"/>
      <c r="Q67" s="476"/>
      <c r="R67" s="474"/>
      <c r="S67" s="475"/>
      <c r="T67" s="475"/>
      <c r="U67" s="475"/>
      <c r="V67" s="475"/>
      <c r="W67" s="475"/>
      <c r="X67" s="475"/>
      <c r="Y67" s="476"/>
      <c r="Z67" s="927"/>
      <c r="AA67" s="928"/>
      <c r="AB67" s="928"/>
      <c r="AC67" s="928"/>
      <c r="AD67" s="929"/>
      <c r="AE67" s="945"/>
      <c r="AF67" s="946"/>
      <c r="AG67" s="947"/>
      <c r="AH67" s="927"/>
      <c r="AI67" s="928"/>
      <c r="AJ67" s="929"/>
    </row>
    <row r="68" ht="18" customHeight="1">
      <c r="A68" s="474"/>
      <c r="B68" s="475"/>
      <c r="C68" s="475"/>
      <c r="D68" s="475"/>
      <c r="E68" s="475"/>
      <c r="F68" s="475"/>
      <c r="G68" s="475"/>
      <c r="H68" s="475"/>
      <c r="I68" s="476"/>
      <c r="J68" s="474"/>
      <c r="K68" s="475"/>
      <c r="L68" s="475"/>
      <c r="M68" s="475"/>
      <c r="N68" s="475"/>
      <c r="O68" s="475"/>
      <c r="P68" s="475"/>
      <c r="Q68" s="476"/>
      <c r="R68" s="474"/>
      <c r="S68" s="475"/>
      <c r="T68" s="475"/>
      <c r="U68" s="475"/>
      <c r="V68" s="475"/>
      <c r="W68" s="475"/>
      <c r="X68" s="475"/>
      <c r="Y68" s="476"/>
    </row>
    <row r="69" ht="18" customHeight="1">
      <c r="A69" s="474"/>
      <c r="B69" s="475"/>
      <c r="C69" s="475"/>
      <c r="D69" s="475"/>
      <c r="E69" s="475"/>
      <c r="F69" s="475"/>
      <c r="G69" s="475"/>
      <c r="H69" s="475"/>
      <c r="I69" s="476"/>
      <c r="J69" s="474"/>
      <c r="K69" s="475"/>
      <c r="L69" s="475"/>
      <c r="M69" s="475"/>
      <c r="N69" s="475"/>
      <c r="O69" s="475"/>
      <c r="P69" s="475"/>
      <c r="Q69" s="476"/>
      <c r="R69" s="474"/>
      <c r="S69" s="475"/>
      <c r="T69" s="475"/>
      <c r="U69" s="475"/>
      <c r="V69" s="475"/>
      <c r="W69" s="475"/>
      <c r="X69" s="475"/>
      <c r="Y69" s="476"/>
      <c r="Z69" s="924" t="str"/>
      <c r="AA69" s="925"/>
      <c r="AB69" s="925"/>
      <c r="AC69" s="925"/>
      <c r="AD69" s="926"/>
      <c r="AE69" s="942" t="str"/>
      <c r="AF69" s="943"/>
      <c r="AG69" s="944"/>
      <c r="AH69" s="924" t="str"/>
      <c r="AI69" s="925"/>
      <c r="AJ69" s="926"/>
    </row>
    <row r="70" ht="18" customHeight="1">
      <c r="A70" s="474"/>
      <c r="B70" s="475"/>
      <c r="C70" s="475"/>
      <c r="D70" s="475"/>
      <c r="E70" s="475"/>
      <c r="F70" s="475"/>
      <c r="G70" s="475"/>
      <c r="H70" s="475"/>
      <c r="I70" s="476"/>
      <c r="J70" s="474"/>
      <c r="K70" s="475"/>
      <c r="L70" s="475"/>
      <c r="M70" s="475"/>
      <c r="N70" s="475"/>
      <c r="O70" s="475"/>
      <c r="P70" s="475"/>
      <c r="Q70" s="476"/>
      <c r="R70" s="474"/>
      <c r="S70" s="475"/>
      <c r="T70" s="475"/>
      <c r="U70" s="475"/>
      <c r="V70" s="475"/>
      <c r="W70" s="475"/>
      <c r="X70" s="475"/>
      <c r="Y70" s="476"/>
      <c r="Z70" s="927"/>
      <c r="AA70" s="928"/>
      <c r="AB70" s="928"/>
      <c r="AC70" s="928"/>
      <c r="AD70" s="929"/>
      <c r="AE70" s="945"/>
      <c r="AF70" s="946"/>
      <c r="AG70" s="947"/>
      <c r="AH70" s="927"/>
      <c r="AI70" s="928"/>
      <c r="AJ70" s="929"/>
    </row>
    <row r="71" ht="18" customHeight="1">
      <c r="A71" s="474"/>
      <c r="B71" s="475"/>
      <c r="C71" s="475"/>
      <c r="D71" s="475"/>
      <c r="E71" s="475"/>
      <c r="F71" s="475"/>
      <c r="G71" s="475"/>
      <c r="H71" s="475"/>
      <c r="I71" s="476"/>
      <c r="J71" s="474"/>
      <c r="K71" s="475"/>
      <c r="L71" s="475"/>
      <c r="M71" s="475"/>
      <c r="N71" s="475"/>
      <c r="O71" s="475"/>
      <c r="P71" s="475"/>
      <c r="Q71" s="476"/>
      <c r="R71" s="474"/>
      <c r="S71" s="475"/>
      <c r="T71" s="475"/>
      <c r="U71" s="475"/>
      <c r="V71" s="475"/>
      <c r="W71" s="475"/>
      <c r="X71" s="475"/>
      <c r="Y71" s="476"/>
    </row>
    <row r="72" ht="18" customHeight="1">
      <c r="A72" s="474"/>
      <c r="B72" s="475"/>
      <c r="C72" s="475"/>
      <c r="D72" s="475"/>
      <c r="E72" s="475"/>
      <c r="F72" s="475"/>
      <c r="G72" s="475"/>
      <c r="H72" s="475"/>
      <c r="I72" s="476"/>
      <c r="J72" s="474"/>
      <c r="K72" s="475"/>
      <c r="L72" s="475"/>
      <c r="M72" s="475"/>
      <c r="N72" s="475"/>
      <c r="O72" s="475"/>
      <c r="P72" s="475"/>
      <c r="Q72" s="476"/>
      <c r="R72" s="474"/>
      <c r="S72" s="475"/>
      <c r="T72" s="475"/>
      <c r="U72" s="475"/>
      <c r="V72" s="475"/>
      <c r="W72" s="475"/>
      <c r="X72" s="475"/>
      <c r="Y72" s="476"/>
    </row>
    <row r="73" ht="18" customHeight="1">
      <c r="A73" s="474"/>
      <c r="B73" s="475"/>
      <c r="C73" s="475"/>
      <c r="D73" s="475"/>
      <c r="E73" s="475"/>
      <c r="F73" s="475"/>
      <c r="G73" s="475"/>
      <c r="H73" s="475"/>
      <c r="I73" s="476"/>
      <c r="J73" s="474"/>
      <c r="K73" s="475"/>
      <c r="L73" s="475"/>
      <c r="M73" s="475"/>
      <c r="N73" s="475"/>
      <c r="O73" s="475"/>
      <c r="P73" s="475"/>
      <c r="Q73" s="476"/>
      <c r="R73" s="474"/>
      <c r="S73" s="475"/>
      <c r="T73" s="475"/>
      <c r="U73" s="475"/>
      <c r="V73" s="475"/>
      <c r="W73" s="475"/>
      <c r="X73" s="475"/>
      <c r="Y73" s="476"/>
      <c r="Z73" s="213" t="str">
        <v>护甲、装备与财宝</v>
      </c>
      <c r="AA73" s="214"/>
      <c r="AB73" s="214"/>
      <c r="AC73" s="214"/>
      <c r="AD73" s="214"/>
      <c r="AE73" s="214"/>
      <c r="AF73" s="214"/>
      <c r="AG73" s="214"/>
      <c r="AH73" s="214"/>
      <c r="AI73" s="214"/>
      <c r="AJ73" s="215"/>
    </row>
    <row r="74" ht="18" customHeight="1">
      <c r="A74" s="474"/>
      <c r="B74" s="475"/>
      <c r="C74" s="475"/>
      <c r="D74" s="475"/>
      <c r="E74" s="475"/>
      <c r="F74" s="475"/>
      <c r="G74" s="475"/>
      <c r="H74" s="475"/>
      <c r="I74" s="476"/>
      <c r="J74" s="474"/>
      <c r="K74" s="475"/>
      <c r="L74" s="475"/>
      <c r="M74" s="475"/>
      <c r="N74" s="475"/>
      <c r="O74" s="475"/>
      <c r="P74" s="475"/>
      <c r="Q74" s="476"/>
      <c r="R74" s="474"/>
      <c r="S74" s="475"/>
      <c r="T74" s="475"/>
      <c r="U74" s="475"/>
      <c r="V74" s="475"/>
      <c r="W74" s="475"/>
      <c r="X74" s="475"/>
      <c r="Y74" s="476"/>
      <c r="Z74" s="471" t="str"/>
      <c r="AA74" s="472"/>
      <c r="AB74" s="472"/>
      <c r="AC74" s="472"/>
      <c r="AD74" s="472"/>
      <c r="AE74" s="472"/>
      <c r="AF74" s="472"/>
      <c r="AG74" s="472"/>
      <c r="AH74" s="472"/>
      <c r="AI74" s="472"/>
      <c r="AJ74" s="473"/>
    </row>
    <row r="75" ht="18" customHeight="1">
      <c r="A75" s="474"/>
      <c r="B75" s="475"/>
      <c r="C75" s="475"/>
      <c r="D75" s="475"/>
      <c r="E75" s="475"/>
      <c r="F75" s="475"/>
      <c r="G75" s="475"/>
      <c r="H75" s="475"/>
      <c r="I75" s="476"/>
      <c r="J75" s="474"/>
      <c r="K75" s="475"/>
      <c r="L75" s="475"/>
      <c r="M75" s="475"/>
      <c r="N75" s="475"/>
      <c r="O75" s="475"/>
      <c r="P75" s="475"/>
      <c r="Q75" s="476"/>
      <c r="R75" s="474"/>
      <c r="S75" s="475"/>
      <c r="T75" s="475"/>
      <c r="U75" s="475"/>
      <c r="V75" s="475"/>
      <c r="W75" s="475"/>
      <c r="X75" s="475"/>
      <c r="Y75" s="476"/>
      <c r="Z75" s="474"/>
      <c r="AA75" s="475"/>
      <c r="AB75" s="475"/>
      <c r="AC75" s="475"/>
      <c r="AD75" s="475"/>
      <c r="AE75" s="475"/>
      <c r="AF75" s="475"/>
      <c r="AG75" s="475"/>
      <c r="AH75" s="475"/>
      <c r="AI75" s="475"/>
      <c r="AJ75" s="476"/>
    </row>
    <row r="76" ht="18" customHeight="1">
      <c r="A76" s="474"/>
      <c r="B76" s="475"/>
      <c r="C76" s="475"/>
      <c r="D76" s="475"/>
      <c r="E76" s="475"/>
      <c r="F76" s="475"/>
      <c r="G76" s="475"/>
      <c r="H76" s="475"/>
      <c r="I76" s="476"/>
      <c r="J76" s="474"/>
      <c r="K76" s="475"/>
      <c r="L76" s="475"/>
      <c r="M76" s="475"/>
      <c r="N76" s="475"/>
      <c r="O76" s="475"/>
      <c r="P76" s="475"/>
      <c r="Q76" s="476"/>
      <c r="R76" s="474"/>
      <c r="S76" s="475"/>
      <c r="T76" s="475"/>
      <c r="U76" s="475"/>
      <c r="V76" s="475"/>
      <c r="W76" s="475"/>
      <c r="X76" s="475"/>
      <c r="Y76" s="476"/>
      <c r="Z76" s="474"/>
      <c r="AA76" s="475"/>
      <c r="AB76" s="475"/>
      <c r="AC76" s="475"/>
      <c r="AD76" s="475"/>
      <c r="AE76" s="475"/>
      <c r="AF76" s="475"/>
      <c r="AG76" s="475"/>
      <c r="AH76" s="475"/>
      <c r="AI76" s="475"/>
      <c r="AJ76" s="476"/>
    </row>
    <row r="77" ht="18" customHeight="1">
      <c r="A77" s="474"/>
      <c r="B77" s="475"/>
      <c r="C77" s="475"/>
      <c r="D77" s="475"/>
      <c r="E77" s="475"/>
      <c r="F77" s="475"/>
      <c r="G77" s="475"/>
      <c r="H77" s="475"/>
      <c r="I77" s="476"/>
      <c r="J77" s="474"/>
      <c r="K77" s="475"/>
      <c r="L77" s="475"/>
      <c r="M77" s="475"/>
      <c r="N77" s="475"/>
      <c r="O77" s="475"/>
      <c r="P77" s="475"/>
      <c r="Q77" s="476"/>
      <c r="R77" s="474"/>
      <c r="S77" s="475"/>
      <c r="T77" s="475"/>
      <c r="U77" s="475"/>
      <c r="V77" s="475"/>
      <c r="W77" s="475"/>
      <c r="X77" s="475"/>
      <c r="Y77" s="476"/>
      <c r="Z77" s="474"/>
      <c r="AA77" s="475"/>
      <c r="AB77" s="475"/>
      <c r="AC77" s="475"/>
      <c r="AD77" s="475"/>
      <c r="AE77" s="475"/>
      <c r="AF77" s="475"/>
      <c r="AG77" s="475"/>
      <c r="AH77" s="475"/>
      <c r="AI77" s="475"/>
      <c r="AJ77" s="476"/>
    </row>
    <row r="78" ht="18" customHeight="1">
      <c r="A78" s="474"/>
      <c r="B78" s="475"/>
      <c r="C78" s="475"/>
      <c r="D78" s="475"/>
      <c r="E78" s="475"/>
      <c r="F78" s="475"/>
      <c r="G78" s="475"/>
      <c r="H78" s="475"/>
      <c r="I78" s="476"/>
      <c r="J78" s="474"/>
      <c r="K78" s="475"/>
      <c r="L78" s="475"/>
      <c r="M78" s="475"/>
      <c r="N78" s="475"/>
      <c r="O78" s="475"/>
      <c r="P78" s="475"/>
      <c r="Q78" s="476"/>
      <c r="R78" s="474"/>
      <c r="S78" s="475"/>
      <c r="T78" s="475"/>
      <c r="U78" s="475"/>
      <c r="V78" s="475"/>
      <c r="W78" s="475"/>
      <c r="X78" s="475"/>
      <c r="Y78" s="476"/>
      <c r="Z78" s="474"/>
      <c r="AA78" s="475"/>
      <c r="AB78" s="475"/>
      <c r="AC78" s="475"/>
      <c r="AD78" s="475"/>
      <c r="AE78" s="475"/>
      <c r="AF78" s="475"/>
      <c r="AG78" s="475"/>
      <c r="AH78" s="475"/>
      <c r="AI78" s="475"/>
      <c r="AJ78" s="476"/>
    </row>
    <row r="79" ht="18" customHeight="1">
      <c r="A79" s="474"/>
      <c r="B79" s="475"/>
      <c r="C79" s="475"/>
      <c r="D79" s="475"/>
      <c r="E79" s="475"/>
      <c r="F79" s="475"/>
      <c r="G79" s="475"/>
      <c r="H79" s="475"/>
      <c r="I79" s="476"/>
      <c r="J79" s="474"/>
      <c r="K79" s="475"/>
      <c r="L79" s="475"/>
      <c r="M79" s="475"/>
      <c r="N79" s="475"/>
      <c r="O79" s="475"/>
      <c r="P79" s="475"/>
      <c r="Q79" s="476"/>
      <c r="R79" s="474"/>
      <c r="S79" s="475"/>
      <c r="T79" s="475"/>
      <c r="U79" s="475"/>
      <c r="V79" s="475"/>
      <c r="W79" s="475"/>
      <c r="X79" s="475"/>
      <c r="Y79" s="476"/>
      <c r="Z79" s="474"/>
      <c r="AA79" s="475"/>
      <c r="AB79" s="475"/>
      <c r="AC79" s="475"/>
      <c r="AD79" s="475"/>
      <c r="AE79" s="475"/>
      <c r="AF79" s="475"/>
      <c r="AG79" s="475"/>
      <c r="AH79" s="475"/>
      <c r="AI79" s="475"/>
      <c r="AJ79" s="476"/>
    </row>
    <row r="80" ht="18" customHeight="1">
      <c r="A80" s="474"/>
      <c r="B80" s="475"/>
      <c r="C80" s="475"/>
      <c r="D80" s="475"/>
      <c r="E80" s="475"/>
      <c r="F80" s="475"/>
      <c r="G80" s="475"/>
      <c r="H80" s="475"/>
      <c r="I80" s="476"/>
      <c r="J80" s="474"/>
      <c r="K80" s="475"/>
      <c r="L80" s="475"/>
      <c r="M80" s="475"/>
      <c r="N80" s="475"/>
      <c r="O80" s="475"/>
      <c r="P80" s="475"/>
      <c r="Q80" s="476"/>
      <c r="R80" s="474"/>
      <c r="S80" s="475"/>
      <c r="T80" s="475"/>
      <c r="U80" s="475"/>
      <c r="V80" s="475"/>
      <c r="W80" s="475"/>
      <c r="X80" s="475"/>
      <c r="Y80" s="476"/>
      <c r="Z80" s="474"/>
      <c r="AA80" s="475"/>
      <c r="AB80" s="475"/>
      <c r="AC80" s="475"/>
      <c r="AD80" s="475"/>
      <c r="AE80" s="475"/>
      <c r="AF80" s="475"/>
      <c r="AG80" s="475"/>
      <c r="AH80" s="475"/>
      <c r="AI80" s="475"/>
      <c r="AJ80" s="476"/>
    </row>
    <row r="81" ht="18" customHeight="1">
      <c r="A81" s="474"/>
      <c r="B81" s="475"/>
      <c r="C81" s="475"/>
      <c r="D81" s="475"/>
      <c r="E81" s="475"/>
      <c r="F81" s="475"/>
      <c r="G81" s="475"/>
      <c r="H81" s="475"/>
      <c r="I81" s="476"/>
      <c r="J81" s="474"/>
      <c r="K81" s="475"/>
      <c r="L81" s="475"/>
      <c r="M81" s="475"/>
      <c r="N81" s="475"/>
      <c r="O81" s="475"/>
      <c r="P81" s="475"/>
      <c r="Q81" s="476"/>
      <c r="R81" s="474"/>
      <c r="S81" s="475"/>
      <c r="T81" s="475"/>
      <c r="U81" s="475"/>
      <c r="V81" s="475"/>
      <c r="W81" s="475"/>
      <c r="X81" s="475"/>
      <c r="Y81" s="476"/>
      <c r="Z81" s="474"/>
      <c r="AA81" s="475"/>
      <c r="AB81" s="475"/>
      <c r="AC81" s="475"/>
      <c r="AD81" s="475"/>
      <c r="AE81" s="475"/>
      <c r="AF81" s="475"/>
      <c r="AG81" s="475"/>
      <c r="AH81" s="475"/>
      <c r="AI81" s="475"/>
      <c r="AJ81" s="476"/>
    </row>
    <row r="82" ht="18" customHeight="1">
      <c r="A82" s="474"/>
      <c r="B82" s="475"/>
      <c r="C82" s="475"/>
      <c r="D82" s="475"/>
      <c r="E82" s="475"/>
      <c r="F82" s="475"/>
      <c r="G82" s="475"/>
      <c r="H82" s="475"/>
      <c r="I82" s="476"/>
      <c r="J82" s="474"/>
      <c r="K82" s="475"/>
      <c r="L82" s="475"/>
      <c r="M82" s="475"/>
      <c r="N82" s="475"/>
      <c r="O82" s="475"/>
      <c r="P82" s="475"/>
      <c r="Q82" s="476"/>
      <c r="R82" s="474"/>
      <c r="S82" s="475"/>
      <c r="T82" s="475"/>
      <c r="U82" s="475"/>
      <c r="V82" s="475"/>
      <c r="W82" s="475"/>
      <c r="X82" s="475"/>
      <c r="Y82" s="476"/>
      <c r="Z82" s="474"/>
      <c r="AA82" s="475"/>
      <c r="AB82" s="475"/>
      <c r="AC82" s="475"/>
      <c r="AD82" s="475"/>
      <c r="AE82" s="475"/>
      <c r="AF82" s="475"/>
      <c r="AG82" s="475"/>
      <c r="AH82" s="475"/>
      <c r="AI82" s="475"/>
      <c r="AJ82" s="476"/>
    </row>
    <row r="83" ht="18" customHeight="1">
      <c r="A83" s="474"/>
      <c r="B83" s="475"/>
      <c r="C83" s="475"/>
      <c r="D83" s="475"/>
      <c r="E83" s="475"/>
      <c r="F83" s="475"/>
      <c r="G83" s="475"/>
      <c r="H83" s="475"/>
      <c r="I83" s="476"/>
      <c r="J83" s="474"/>
      <c r="K83" s="475"/>
      <c r="L83" s="475"/>
      <c r="M83" s="475"/>
      <c r="N83" s="475"/>
      <c r="O83" s="475"/>
      <c r="P83" s="475"/>
      <c r="Q83" s="476"/>
      <c r="R83" s="474"/>
      <c r="S83" s="475"/>
      <c r="T83" s="475"/>
      <c r="U83" s="475"/>
      <c r="V83" s="475"/>
      <c r="W83" s="475"/>
      <c r="X83" s="475"/>
      <c r="Y83" s="476"/>
      <c r="Z83" s="474"/>
      <c r="AA83" s="475"/>
      <c r="AB83" s="475"/>
      <c r="AC83" s="475"/>
      <c r="AD83" s="475"/>
      <c r="AE83" s="475"/>
      <c r="AF83" s="475"/>
      <c r="AG83" s="475"/>
      <c r="AH83" s="475"/>
      <c r="AI83" s="475"/>
      <c r="AJ83" s="476"/>
    </row>
    <row r="84" ht="18" customHeight="1">
      <c r="A84" s="474"/>
      <c r="B84" s="475"/>
      <c r="C84" s="475"/>
      <c r="D84" s="475"/>
      <c r="E84" s="475"/>
      <c r="F84" s="475"/>
      <c r="G84" s="475"/>
      <c r="H84" s="475"/>
      <c r="I84" s="476"/>
      <c r="J84" s="474"/>
      <c r="K84" s="475"/>
      <c r="L84" s="475"/>
      <c r="M84" s="475"/>
      <c r="N84" s="475"/>
      <c r="O84" s="475"/>
      <c r="P84" s="475"/>
      <c r="Q84" s="476"/>
      <c r="R84" s="474"/>
      <c r="S84" s="475"/>
      <c r="T84" s="475"/>
      <c r="U84" s="475"/>
      <c r="V84" s="475"/>
      <c r="W84" s="475"/>
      <c r="X84" s="475"/>
      <c r="Y84" s="476"/>
      <c r="Z84" s="474"/>
      <c r="AA84" s="475"/>
      <c r="AB84" s="475"/>
      <c r="AC84" s="475"/>
      <c r="AD84" s="475"/>
      <c r="AE84" s="475"/>
      <c r="AF84" s="475"/>
      <c r="AG84" s="475"/>
      <c r="AH84" s="475"/>
      <c r="AI84" s="475"/>
      <c r="AJ84" s="476"/>
    </row>
    <row r="85" ht="18" customHeight="1">
      <c r="A85" s="474"/>
      <c r="B85" s="475"/>
      <c r="C85" s="475"/>
      <c r="D85" s="475"/>
      <c r="E85" s="475"/>
      <c r="F85" s="475"/>
      <c r="G85" s="475"/>
      <c r="H85" s="475"/>
      <c r="I85" s="476"/>
      <c r="J85" s="474"/>
      <c r="K85" s="475"/>
      <c r="L85" s="475"/>
      <c r="M85" s="475"/>
      <c r="N85" s="475"/>
      <c r="O85" s="475"/>
      <c r="P85" s="475"/>
      <c r="Q85" s="476"/>
      <c r="R85" s="474"/>
      <c r="S85" s="475"/>
      <c r="T85" s="475"/>
      <c r="U85" s="475"/>
      <c r="V85" s="475"/>
      <c r="W85" s="475"/>
      <c r="X85" s="475"/>
      <c r="Y85" s="476"/>
      <c r="Z85" s="474"/>
      <c r="AA85" s="475"/>
      <c r="AB85" s="475"/>
      <c r="AC85" s="475"/>
      <c r="AD85" s="475"/>
      <c r="AE85" s="475"/>
      <c r="AF85" s="475"/>
      <c r="AG85" s="475"/>
      <c r="AH85" s="475"/>
      <c r="AI85" s="475"/>
      <c r="AJ85" s="476"/>
    </row>
    <row r="86" ht="18" customHeight="1">
      <c r="A86" s="474"/>
      <c r="B86" s="475"/>
      <c r="C86" s="475"/>
      <c r="D86" s="475"/>
      <c r="E86" s="475"/>
      <c r="F86" s="475"/>
      <c r="G86" s="475"/>
      <c r="H86" s="475"/>
      <c r="I86" s="476"/>
      <c r="J86" s="474"/>
      <c r="K86" s="475"/>
      <c r="L86" s="475"/>
      <c r="M86" s="475"/>
      <c r="N86" s="475"/>
      <c r="O86" s="475"/>
      <c r="P86" s="475"/>
      <c r="Q86" s="476"/>
      <c r="R86" s="474"/>
      <c r="S86" s="475"/>
      <c r="T86" s="475"/>
      <c r="U86" s="475"/>
      <c r="V86" s="475"/>
      <c r="W86" s="475"/>
      <c r="X86" s="475"/>
      <c r="Y86" s="476"/>
      <c r="Z86" s="474"/>
      <c r="AA86" s="475"/>
      <c r="AB86" s="475"/>
      <c r="AC86" s="475"/>
      <c r="AD86" s="475"/>
      <c r="AE86" s="475"/>
      <c r="AF86" s="475"/>
      <c r="AG86" s="475"/>
      <c r="AH86" s="475"/>
      <c r="AI86" s="475"/>
      <c r="AJ86" s="476"/>
    </row>
    <row r="87" ht="18" customHeight="1">
      <c r="A87" s="474"/>
      <c r="B87" s="475"/>
      <c r="C87" s="475"/>
      <c r="D87" s="475"/>
      <c r="E87" s="475"/>
      <c r="F87" s="475"/>
      <c r="G87" s="475"/>
      <c r="H87" s="475"/>
      <c r="I87" s="476"/>
      <c r="J87" s="474"/>
      <c r="K87" s="475"/>
      <c r="L87" s="475"/>
      <c r="M87" s="475"/>
      <c r="N87" s="475"/>
      <c r="O87" s="475"/>
      <c r="P87" s="475"/>
      <c r="Q87" s="476"/>
      <c r="R87" s="474"/>
      <c r="S87" s="475"/>
      <c r="T87" s="475"/>
      <c r="U87" s="475"/>
      <c r="V87" s="475"/>
      <c r="W87" s="475"/>
      <c r="X87" s="475"/>
      <c r="Y87" s="476"/>
      <c r="Z87" s="474"/>
      <c r="AA87" s="475"/>
      <c r="AB87" s="475"/>
      <c r="AC87" s="475"/>
      <c r="AD87" s="475"/>
      <c r="AE87" s="475"/>
      <c r="AF87" s="475"/>
      <c r="AG87" s="475"/>
      <c r="AH87" s="475"/>
      <c r="AI87" s="475"/>
      <c r="AJ87" s="476"/>
    </row>
    <row r="88" ht="18" customHeight="1">
      <c r="A88" s="474"/>
      <c r="B88" s="475"/>
      <c r="C88" s="475"/>
      <c r="D88" s="475"/>
      <c r="E88" s="475"/>
      <c r="F88" s="475"/>
      <c r="G88" s="475"/>
      <c r="H88" s="475"/>
      <c r="I88" s="476"/>
      <c r="J88" s="474"/>
      <c r="K88" s="475"/>
      <c r="L88" s="475"/>
      <c r="M88" s="475"/>
      <c r="N88" s="475"/>
      <c r="O88" s="475"/>
      <c r="P88" s="475"/>
      <c r="Q88" s="476"/>
      <c r="R88" s="474"/>
      <c r="S88" s="475"/>
      <c r="T88" s="475"/>
      <c r="U88" s="475"/>
      <c r="V88" s="475"/>
      <c r="W88" s="475"/>
      <c r="X88" s="475"/>
      <c r="Y88" s="476"/>
      <c r="Z88" s="474"/>
      <c r="AA88" s="475"/>
      <c r="AB88" s="475"/>
      <c r="AC88" s="475"/>
      <c r="AD88" s="475"/>
      <c r="AE88" s="475"/>
      <c r="AF88" s="475"/>
      <c r="AG88" s="475"/>
      <c r="AH88" s="475"/>
      <c r="AI88" s="475"/>
      <c r="AJ88" s="476"/>
    </row>
    <row r="89" ht="18" customHeight="1">
      <c r="A89" s="474"/>
      <c r="B89" s="475"/>
      <c r="C89" s="475"/>
      <c r="D89" s="475"/>
      <c r="E89" s="475"/>
      <c r="F89" s="475"/>
      <c r="G89" s="475"/>
      <c r="H89" s="475"/>
      <c r="I89" s="476"/>
      <c r="J89" s="474"/>
      <c r="K89" s="475"/>
      <c r="L89" s="475"/>
      <c r="M89" s="475"/>
      <c r="N89" s="475"/>
      <c r="O89" s="475"/>
      <c r="P89" s="475"/>
      <c r="Q89" s="476"/>
      <c r="R89" s="474"/>
      <c r="S89" s="475"/>
      <c r="T89" s="475"/>
      <c r="U89" s="475"/>
      <c r="V89" s="475"/>
      <c r="W89" s="475"/>
      <c r="X89" s="475"/>
      <c r="Y89" s="476"/>
      <c r="Z89" s="474"/>
      <c r="AA89" s="475"/>
      <c r="AB89" s="475"/>
      <c r="AC89" s="475"/>
      <c r="AD89" s="475"/>
      <c r="AE89" s="475"/>
      <c r="AF89" s="475"/>
      <c r="AG89" s="475"/>
      <c r="AH89" s="475"/>
      <c r="AI89" s="475"/>
      <c r="AJ89" s="476"/>
    </row>
    <row r="90" ht="18" customHeight="1">
      <c r="A90" s="474"/>
      <c r="B90" s="475"/>
      <c r="C90" s="475"/>
      <c r="D90" s="475"/>
      <c r="E90" s="475"/>
      <c r="F90" s="475"/>
      <c r="G90" s="475"/>
      <c r="H90" s="475"/>
      <c r="I90" s="476"/>
      <c r="J90" s="474"/>
      <c r="K90" s="475"/>
      <c r="L90" s="475"/>
      <c r="M90" s="475"/>
      <c r="N90" s="475"/>
      <c r="O90" s="475"/>
      <c r="P90" s="475"/>
      <c r="Q90" s="476"/>
      <c r="R90" s="474"/>
      <c r="S90" s="475"/>
      <c r="T90" s="475"/>
      <c r="U90" s="475"/>
      <c r="V90" s="475"/>
      <c r="W90" s="475"/>
      <c r="X90" s="475"/>
      <c r="Y90" s="476"/>
      <c r="Z90" s="474"/>
      <c r="AA90" s="475"/>
      <c r="AB90" s="475"/>
      <c r="AC90" s="475"/>
      <c r="AD90" s="475"/>
      <c r="AE90" s="475"/>
      <c r="AF90" s="475"/>
      <c r="AG90" s="475"/>
      <c r="AH90" s="475"/>
      <c r="AI90" s="475"/>
      <c r="AJ90" s="476"/>
    </row>
    <row r="91" ht="18" customHeight="1">
      <c r="A91" s="474"/>
      <c r="B91" s="475"/>
      <c r="C91" s="475"/>
      <c r="D91" s="475"/>
      <c r="E91" s="475"/>
      <c r="F91" s="475"/>
      <c r="G91" s="475"/>
      <c r="H91" s="475"/>
      <c r="I91" s="476"/>
      <c r="J91" s="474"/>
      <c r="K91" s="475"/>
      <c r="L91" s="475"/>
      <c r="M91" s="475"/>
      <c r="N91" s="475"/>
      <c r="O91" s="475"/>
      <c r="P91" s="475"/>
      <c r="Q91" s="476"/>
      <c r="R91" s="474"/>
      <c r="S91" s="475"/>
      <c r="T91" s="475"/>
      <c r="U91" s="475"/>
      <c r="V91" s="475"/>
      <c r="W91" s="475"/>
      <c r="X91" s="475"/>
      <c r="Y91" s="476"/>
      <c r="Z91" s="474"/>
      <c r="AA91" s="475"/>
      <c r="AB91" s="475"/>
      <c r="AC91" s="475"/>
      <c r="AD91" s="475"/>
      <c r="AE91" s="475"/>
      <c r="AF91" s="475"/>
      <c r="AG91" s="475"/>
      <c r="AH91" s="475"/>
      <c r="AI91" s="475"/>
      <c r="AJ91" s="476"/>
    </row>
    <row r="92" ht="18" customHeight="1">
      <c r="A92" s="474"/>
      <c r="B92" s="475"/>
      <c r="C92" s="475"/>
      <c r="D92" s="475"/>
      <c r="E92" s="475"/>
      <c r="F92" s="475"/>
      <c r="G92" s="475"/>
      <c r="H92" s="475"/>
      <c r="I92" s="476"/>
      <c r="J92" s="474"/>
      <c r="K92" s="475"/>
      <c r="L92" s="475"/>
      <c r="M92" s="475"/>
      <c r="N92" s="475"/>
      <c r="O92" s="475"/>
      <c r="P92" s="475"/>
      <c r="Q92" s="476"/>
      <c r="R92" s="474"/>
      <c r="S92" s="475"/>
      <c r="T92" s="475"/>
      <c r="U92" s="475"/>
      <c r="V92" s="475"/>
      <c r="W92" s="475"/>
      <c r="X92" s="475"/>
      <c r="Y92" s="476"/>
      <c r="Z92" s="474"/>
      <c r="AA92" s="475"/>
      <c r="AB92" s="475"/>
      <c r="AC92" s="475"/>
      <c r="AD92" s="475"/>
      <c r="AE92" s="475"/>
      <c r="AF92" s="475"/>
      <c r="AG92" s="475"/>
      <c r="AH92" s="475"/>
      <c r="AI92" s="475"/>
      <c r="AJ92" s="476"/>
    </row>
    <row r="93" ht="18" customHeight="1">
      <c r="A93" s="474"/>
      <c r="B93" s="475"/>
      <c r="C93" s="475"/>
      <c r="D93" s="475"/>
      <c r="E93" s="475"/>
      <c r="F93" s="475"/>
      <c r="G93" s="475"/>
      <c r="H93" s="475"/>
      <c r="I93" s="476"/>
      <c r="J93" s="474"/>
      <c r="K93" s="475"/>
      <c r="L93" s="475"/>
      <c r="M93" s="475"/>
      <c r="N93" s="475"/>
      <c r="O93" s="475"/>
      <c r="P93" s="475"/>
      <c r="Q93" s="476"/>
      <c r="R93" s="474"/>
      <c r="S93" s="475"/>
      <c r="T93" s="475"/>
      <c r="U93" s="475"/>
      <c r="V93" s="475"/>
      <c r="W93" s="475"/>
      <c r="X93" s="475"/>
      <c r="Y93" s="476"/>
      <c r="Z93" s="474"/>
      <c r="AA93" s="475"/>
      <c r="AB93" s="475"/>
      <c r="AC93" s="475"/>
      <c r="AD93" s="475"/>
      <c r="AE93" s="475"/>
      <c r="AF93" s="475"/>
      <c r="AG93" s="475"/>
      <c r="AH93" s="475"/>
      <c r="AI93" s="475"/>
      <c r="AJ93" s="476"/>
    </row>
    <row r="94" ht="18" customHeight="1">
      <c r="A94" s="477"/>
      <c r="B94" s="478"/>
      <c r="C94" s="478"/>
      <c r="D94" s="478"/>
      <c r="E94" s="478"/>
      <c r="F94" s="478"/>
      <c r="G94" s="478"/>
      <c r="H94" s="478"/>
      <c r="I94" s="479"/>
      <c r="J94" s="477"/>
      <c r="K94" s="478"/>
      <c r="L94" s="478"/>
      <c r="M94" s="478"/>
      <c r="N94" s="478"/>
      <c r="O94" s="478"/>
      <c r="P94" s="478"/>
      <c r="Q94" s="479"/>
      <c r="R94" s="477"/>
      <c r="S94" s="478"/>
      <c r="T94" s="478"/>
      <c r="U94" s="478"/>
      <c r="V94" s="478"/>
      <c r="W94" s="478"/>
      <c r="X94" s="478"/>
      <c r="Y94" s="479"/>
      <c r="Z94" s="477"/>
      <c r="AA94" s="478"/>
      <c r="AB94" s="478"/>
      <c r="AC94" s="478"/>
      <c r="AD94" s="478"/>
      <c r="AE94" s="478"/>
      <c r="AF94" s="478"/>
      <c r="AG94" s="478"/>
      <c r="AH94" s="478"/>
      <c r="AI94" s="478"/>
      <c r="AJ94" s="479"/>
    </row>
    <row r="95" ht="18" customHeight="1"/>
  </sheetData>
  <mergeCells>
    <mergeCell ref="A1:AJ2"/>
    <mergeCell ref="A3:J3"/>
    <mergeCell ref="A4:J6"/>
    <mergeCell ref="K3:R3"/>
    <mergeCell ref="K4:R6"/>
    <mergeCell ref="S3:Z3"/>
    <mergeCell ref="S4:Z6"/>
    <mergeCell ref="AA3:AF3"/>
    <mergeCell ref="AA4:AF6"/>
    <mergeCell ref="AG3:AJ3"/>
    <mergeCell ref="AG4:AJ6"/>
    <mergeCell ref="A7:H7"/>
    <mergeCell ref="A8:H9"/>
    <mergeCell ref="I7:N7"/>
    <mergeCell ref="I8:N9"/>
    <mergeCell ref="O7:T7"/>
    <mergeCell ref="O8:T9"/>
    <mergeCell ref="U7:Z7"/>
    <mergeCell ref="U8:Z9"/>
    <mergeCell ref="AA7:AD7"/>
    <mergeCell ref="AA8:AD9"/>
    <mergeCell ref="AE7:AG7"/>
    <mergeCell ref="AE8:AG9"/>
    <mergeCell ref="AH7:AJ7"/>
    <mergeCell ref="AH8:AJ9"/>
    <mergeCell ref="A10:I10"/>
    <mergeCell ref="A11:D11"/>
    <mergeCell ref="E11:I11"/>
    <mergeCell ref="A12:D15"/>
    <mergeCell ref="E12:I15"/>
    <mergeCell ref="A17:I17"/>
    <mergeCell ref="A18:D18"/>
    <mergeCell ref="E18:I18"/>
    <mergeCell ref="A19:D22"/>
    <mergeCell ref="E19:I22"/>
    <mergeCell ref="A24:I24"/>
    <mergeCell ref="A25:D25"/>
    <mergeCell ref="E25:I25"/>
    <mergeCell ref="A26:D29"/>
    <mergeCell ref="E26:I29"/>
    <mergeCell ref="A31:I31"/>
    <mergeCell ref="A32:D32"/>
    <mergeCell ref="E32:I32"/>
    <mergeCell ref="A33:D36"/>
    <mergeCell ref="E33:I36"/>
    <mergeCell ref="A38:I38"/>
    <mergeCell ref="A39:D39"/>
    <mergeCell ref="E39:I39"/>
    <mergeCell ref="A40:D43"/>
    <mergeCell ref="E40:I43"/>
    <mergeCell ref="A45:I45"/>
    <mergeCell ref="A46:D46"/>
    <mergeCell ref="E46:I46"/>
    <mergeCell ref="A47:D50"/>
    <mergeCell ref="E47:I50"/>
    <mergeCell ref="A53:I53"/>
    <mergeCell ref="A54:I57"/>
    <mergeCell ref="A59:I59"/>
    <mergeCell ref="A60:I94"/>
    <mergeCell ref="J10:Q10"/>
    <mergeCell ref="J11:K12"/>
    <mergeCell ref="L11:O12"/>
    <mergeCell ref="P11:Q12"/>
    <mergeCell ref="J13:K14"/>
    <mergeCell ref="L13:O14"/>
    <mergeCell ref="P13:Q14"/>
    <mergeCell ref="J15:K16"/>
    <mergeCell ref="L15:O16"/>
    <mergeCell ref="P15:Q16"/>
    <mergeCell ref="J17:K18"/>
    <mergeCell ref="L17:O18"/>
    <mergeCell ref="P17:Q18"/>
    <mergeCell ref="J19:K20"/>
    <mergeCell ref="L19:O20"/>
    <mergeCell ref="P19:Q20"/>
    <mergeCell ref="J21:K22"/>
    <mergeCell ref="L21:O22"/>
    <mergeCell ref="P21:Q22"/>
    <mergeCell ref="J25:Q25"/>
    <mergeCell ref="J26:K26"/>
    <mergeCell ref="L26:P26"/>
    <mergeCell ref="J27:K27"/>
    <mergeCell ref="L27:P27"/>
    <mergeCell ref="J28:K28"/>
    <mergeCell ref="L28:P28"/>
    <mergeCell ref="J29:K29"/>
    <mergeCell ref="L29:P29"/>
    <mergeCell ref="J30:K30"/>
    <mergeCell ref="L30:P30"/>
    <mergeCell ref="J31:K31"/>
    <mergeCell ref="L31:P31"/>
    <mergeCell ref="J32:K32"/>
    <mergeCell ref="L32:P32"/>
    <mergeCell ref="J33:K33"/>
    <mergeCell ref="L33:P33"/>
    <mergeCell ref="J34:K34"/>
    <mergeCell ref="L34:P34"/>
    <mergeCell ref="J35:K35"/>
    <mergeCell ref="L35:P35"/>
    <mergeCell ref="J36:K36"/>
    <mergeCell ref="L36:P36"/>
    <mergeCell ref="J37:K37"/>
    <mergeCell ref="L37:P37"/>
    <mergeCell ref="J38:K38"/>
    <mergeCell ref="L38:P38"/>
    <mergeCell ref="J39:K39"/>
    <mergeCell ref="L39:P39"/>
    <mergeCell ref="J40:K40"/>
    <mergeCell ref="L40:P40"/>
    <mergeCell ref="J41:K41"/>
    <mergeCell ref="L41:P41"/>
    <mergeCell ref="J42:K42"/>
    <mergeCell ref="L42:P42"/>
    <mergeCell ref="J43:K43"/>
    <mergeCell ref="L43:P43"/>
    <mergeCell ref="R10:Y10"/>
    <mergeCell ref="R11:U11"/>
    <mergeCell ref="R12:U14"/>
    <mergeCell ref="V11:Y11"/>
    <mergeCell ref="V12:Y14"/>
    <mergeCell ref="R16:U16"/>
    <mergeCell ref="R17:U20"/>
    <mergeCell ref="V16:Y16"/>
    <mergeCell ref="V17:Y20"/>
    <mergeCell ref="R22:Y22"/>
    <mergeCell ref="R23:T23"/>
    <mergeCell ref="U23:W23"/>
    <mergeCell ref="X23:Y23"/>
    <mergeCell ref="R24:T28"/>
    <mergeCell ref="U24:W28"/>
    <mergeCell ref="X24:Y28"/>
    <mergeCell ref="R30:U30"/>
    <mergeCell ref="R31:U34"/>
    <mergeCell ref="V30:Y30"/>
    <mergeCell ref="V31:Y34"/>
    <mergeCell ref="R36:Y36"/>
    <mergeCell ref="R37:U37"/>
    <mergeCell ref="R38:U40"/>
    <mergeCell ref="V37:Y37"/>
    <mergeCell ref="V38:Y40"/>
    <mergeCell ref="R42:Y42"/>
    <mergeCell ref="R43:Y94"/>
    <mergeCell ref="Z10:AJ10"/>
    <mergeCell ref="Z11:AJ11"/>
    <mergeCell ref="Z12:AJ21"/>
    <mergeCell ref="Z23:AJ23"/>
    <mergeCell ref="Z24:AJ33"/>
    <mergeCell ref="Z35:AJ35"/>
    <mergeCell ref="Z36:AJ45"/>
    <mergeCell ref="Z47:AJ47"/>
    <mergeCell ref="Z48:AJ56"/>
    <mergeCell ref="Z58:AJ58"/>
    <mergeCell ref="Z59:AD59"/>
    <mergeCell ref="AE59:AG59"/>
    <mergeCell ref="AH59:AJ59"/>
    <mergeCell ref="Z60:AD61"/>
    <mergeCell ref="AE60:AG61"/>
    <mergeCell ref="AH60:AJ61"/>
    <mergeCell ref="Z63:AD64"/>
    <mergeCell ref="AE63:AG64"/>
    <mergeCell ref="AH63:AJ64"/>
    <mergeCell ref="Z66:AD67"/>
    <mergeCell ref="AE66:AG67"/>
    <mergeCell ref="AH66:AJ67"/>
    <mergeCell ref="Z69:AD70"/>
    <mergeCell ref="AE69:AG70"/>
    <mergeCell ref="AH69:AJ70"/>
    <mergeCell ref="Z73:AJ73"/>
    <mergeCell ref="Z74:AJ94"/>
    <mergeCell ref="J47:Q47"/>
    <mergeCell ref="J48:L48"/>
    <mergeCell ref="M48:Q48"/>
    <mergeCell ref="J50:L50"/>
    <mergeCell ref="M50:Q50"/>
    <mergeCell ref="J52:L52"/>
    <mergeCell ref="M52:Q52"/>
    <mergeCell ref="J54:L54"/>
    <mergeCell ref="M54:Q54"/>
    <mergeCell ref="J56:L56"/>
    <mergeCell ref="M56:Q56"/>
    <mergeCell ref="J59:Q59"/>
    <mergeCell ref="J60:Q94"/>
  </mergeCells>
  <dataValidations count="29">
    <dataValidation type="list" sqref="K4">
      <formula1>'配置数据'!$A$2:$A$14</formula1>
    </dataValidation>
    <dataValidation type="list" sqref="S4">
      <formula1>'配置数据'!$B$2:$B$16</formula1>
    </dataValidation>
    <dataValidation type="list" sqref="AA4">
      <formula1>'配置数据'!$C$2:$C$15</formula1>
    </dataValidation>
    <dataValidation type="list" sqref="I8">
      <formula1>'配置数据'!$D$2:$D$11</formula1>
    </dataValidation>
    <dataValidation type="list" sqref="AG4">
      <formula1>'配置数据'!$E$2:$E$21</formula1>
    </dataValidation>
    <dataValidation type="list" sqref="J11">
      <formula1>'配置数据'!$H$2:$H$3</formula1>
    </dataValidation>
    <dataValidation type="list" sqref="J13">
      <formula1>'配置数据'!$H$2:$H$3</formula1>
    </dataValidation>
    <dataValidation type="list" sqref="J15">
      <formula1>'配置数据'!$H$2:$H$3</formula1>
    </dataValidation>
    <dataValidation type="list" sqref="J17">
      <formula1>'配置数据'!$H$2:$H$3</formula1>
    </dataValidation>
    <dataValidation type="list" sqref="J19">
      <formula1>'配置数据'!$H$2:$H$3</formula1>
    </dataValidation>
    <dataValidation type="list" sqref="J21">
      <formula1>'配置数据'!$H$2:$H$3</formula1>
    </dataValidation>
    <dataValidation type="list" sqref="J26">
      <formula1>'配置数据'!$F$2:$F$4</formula1>
    </dataValidation>
    <dataValidation type="list" sqref="J27">
      <formula1>'配置数据'!$F$2:$F$4</formula1>
    </dataValidation>
    <dataValidation type="list" sqref="J28">
      <formula1>'配置数据'!$F$2:$F$4</formula1>
    </dataValidation>
    <dataValidation type="list" sqref="J29">
      <formula1>'配置数据'!$F$2:$F$4</formula1>
    </dataValidation>
    <dataValidation type="list" sqref="J30">
      <formula1>'配置数据'!$F$2:$F$4</formula1>
    </dataValidation>
    <dataValidation type="list" sqref="J31">
      <formula1>'配置数据'!$F$2:$F$4</formula1>
    </dataValidation>
    <dataValidation type="list" sqref="J32">
      <formula1>'配置数据'!$F$2:$F$4</formula1>
    </dataValidation>
    <dataValidation type="list" sqref="J33">
      <formula1>'配置数据'!$F$2:$F$4</formula1>
    </dataValidation>
    <dataValidation type="list" sqref="J34">
      <formula1>'配置数据'!$F$2:$F$4</formula1>
    </dataValidation>
    <dataValidation type="list" sqref="J35">
      <formula1>'配置数据'!$F$2:$F$4</formula1>
    </dataValidation>
    <dataValidation type="list" sqref="J36">
      <formula1>'配置数据'!$F$2:$F$4</formula1>
    </dataValidation>
    <dataValidation type="list" sqref="J37">
      <formula1>'配置数据'!$F$2:$F$4</formula1>
    </dataValidation>
    <dataValidation type="list" sqref="J38">
      <formula1>'配置数据'!$F$2:$F$4</formula1>
    </dataValidation>
    <dataValidation type="list" sqref="J39">
      <formula1>'配置数据'!$F$2:$F$4</formula1>
    </dataValidation>
    <dataValidation type="list" sqref="J40">
      <formula1>'配置数据'!$F$2:$F$4</formula1>
    </dataValidation>
    <dataValidation type="list" sqref="J41">
      <formula1>'配置数据'!$F$2:$F$4</formula1>
    </dataValidation>
    <dataValidation type="list" sqref="J42">
      <formula1>'配置数据'!$F$2:$F$4</formula1>
    </dataValidation>
    <dataValidation type="list" sqref="J43">
      <formula1>'配置数据'!$F$2:$F$4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4" hidden="0" customWidth="1"/>
    <col min="2" max="2" width="4" hidden="0" customWidth="1"/>
    <col min="3" max="3" width="4" hidden="0" customWidth="1"/>
    <col min="4" max="4" width="4" hidden="0" customWidth="1"/>
    <col min="5" max="5" width="4" hidden="0" customWidth="1"/>
    <col min="6" max="6" width="4" hidden="0" customWidth="1"/>
    <col min="7" max="7" width="4" hidden="0" customWidth="1"/>
    <col min="8" max="8" width="4" hidden="0" customWidth="1"/>
    <col min="9" max="9" width="4" hidden="0" customWidth="1"/>
    <col min="10" max="10" width="4" hidden="0" customWidth="1"/>
    <col min="11" max="11" width="4" hidden="0" customWidth="1"/>
    <col min="12" max="12" width="4" hidden="0" customWidth="1"/>
    <col min="13" max="13" width="4" hidden="0" customWidth="1"/>
    <col min="14" max="14" width="4" hidden="0" customWidth="1"/>
    <col min="15" max="15" width="4" hidden="0" customWidth="1"/>
    <col min="16" max="16" width="4" hidden="0" customWidth="1"/>
    <col min="17" max="17" width="4" hidden="0" customWidth="1"/>
    <col min="18" max="18" width="4" hidden="0" customWidth="1"/>
    <col min="19" max="19" width="4" hidden="0" customWidth="1"/>
    <col min="20" max="20" width="4" hidden="0" customWidth="1"/>
    <col min="21" max="21" width="4" hidden="0" customWidth="1"/>
    <col min="22" max="22" width="4" hidden="0" customWidth="1"/>
    <col min="23" max="23" width="4" hidden="0" customWidth="1"/>
    <col min="24" max="24" width="4" hidden="0" customWidth="1"/>
    <col min="25" max="25" width="4" hidden="0" customWidth="1"/>
    <col min="26" max="26" width="4" hidden="0" customWidth="1"/>
    <col min="27" max="27" width="4" hidden="0" customWidth="1"/>
    <col min="28" max="28" width="4" hidden="0" customWidth="1"/>
    <col min="29" max="29" width="4" hidden="0" customWidth="1"/>
    <col min="30" max="30" width="4" hidden="0" customWidth="1"/>
  </cols>
  <sheetData>
    <row r="1" ht="18" customHeight="1">
      <c r="A1" s="998" t="str">
        <v>人物资料</v>
      </c>
      <c r="B1" s="998"/>
      <c r="C1" s="998"/>
      <c r="D1" s="998"/>
      <c r="E1" s="998"/>
      <c r="F1" s="998"/>
      <c r="G1" s="998"/>
      <c r="H1" s="998"/>
      <c r="I1" s="998"/>
      <c r="J1" s="998"/>
      <c r="K1" s="998"/>
      <c r="L1" s="998"/>
      <c r="M1" s="998"/>
      <c r="N1" s="998"/>
      <c r="O1" s="998"/>
      <c r="P1" s="998"/>
      <c r="Q1" s="998"/>
      <c r="R1" s="998"/>
      <c r="S1" s="998"/>
      <c r="T1" s="998"/>
      <c r="U1" s="998"/>
      <c r="V1" s="998"/>
      <c r="W1" s="998"/>
      <c r="X1" s="998"/>
      <c r="Y1" s="998"/>
      <c r="Z1" s="998"/>
      <c r="AA1" s="998"/>
      <c r="AB1" s="998"/>
      <c r="AC1" s="998"/>
      <c r="AD1" s="998"/>
    </row>
    <row r="2" ht="18" customHeight="1">
      <c r="A2" s="998"/>
      <c r="B2" s="998"/>
      <c r="C2" s="998"/>
      <c r="D2" s="998"/>
      <c r="E2" s="998"/>
      <c r="F2" s="998"/>
      <c r="G2" s="998"/>
      <c r="H2" s="998"/>
      <c r="I2" s="998"/>
      <c r="J2" s="998"/>
      <c r="K2" s="998"/>
      <c r="L2" s="998"/>
      <c r="M2" s="998"/>
      <c r="N2" s="998"/>
      <c r="O2" s="998"/>
      <c r="P2" s="998"/>
      <c r="Q2" s="998"/>
      <c r="R2" s="998"/>
      <c r="S2" s="998"/>
      <c r="T2" s="998"/>
      <c r="U2" s="998"/>
      <c r="V2" s="998"/>
      <c r="W2" s="998"/>
      <c r="X2" s="998"/>
      <c r="Y2" s="998"/>
      <c r="Z2" s="998"/>
      <c r="AA2" s="998"/>
      <c r="AB2" s="998"/>
      <c r="AC2" s="998"/>
      <c r="AD2" s="998"/>
    </row>
    <row r="3" ht="18" customHeight="1">
      <c r="A3" s="22" t="str">
        <v>角色名</v>
      </c>
      <c r="B3" s="23"/>
      <c r="C3" s="23"/>
      <c r="D3" s="23"/>
      <c r="E3" s="23"/>
      <c r="F3" s="23"/>
      <c r="G3" s="23"/>
      <c r="H3" s="23"/>
      <c r="I3" s="23"/>
      <c r="J3" s="24"/>
      <c r="K3" s="22" t="str">
        <v>职业 / 等级</v>
      </c>
      <c r="L3" s="23"/>
      <c r="M3" s="23"/>
      <c r="N3" s="23"/>
      <c r="O3" s="23"/>
      <c r="P3" s="24"/>
      <c r="Q3" s="22" t="str">
        <v>种族</v>
      </c>
      <c r="R3" s="23"/>
      <c r="S3" s="23"/>
      <c r="T3" s="23"/>
      <c r="U3" s="23"/>
      <c r="V3" s="24"/>
      <c r="W3" s="22" t="str">
        <v>背景</v>
      </c>
      <c r="X3" s="23"/>
      <c r="Y3" s="23"/>
      <c r="Z3" s="23"/>
      <c r="AA3" s="23"/>
      <c r="AB3" s="23"/>
      <c r="AC3" s="23"/>
      <c r="AD3" s="24"/>
    </row>
    <row r="4" ht="18" customHeight="1">
      <c r="A4" s="1027" t="str">
        <f>IF('角色卡'!A4="","",'角色卡'!A4)</f>
      </c>
      <c r="B4" s="1028"/>
      <c r="C4" s="1028"/>
      <c r="D4" s="1028"/>
      <c r="E4" s="1028"/>
      <c r="F4" s="1028"/>
      <c r="G4" s="1028"/>
      <c r="H4" s="1028"/>
      <c r="I4" s="1028"/>
      <c r="J4" s="1029"/>
      <c r="K4" s="1099" t="str">
        <f>IF('角色卡'!K4="","",'角色卡'!K4&amp;" "&amp;'角色卡'!AG4)</f>
      </c>
      <c r="L4" s="1100"/>
      <c r="M4" s="1100"/>
      <c r="N4" s="1100"/>
      <c r="O4" s="1100"/>
      <c r="P4" s="1101"/>
      <c r="Q4" s="1099" t="str">
        <f>IF('角色卡'!S4="","",'角色卡'!S4)</f>
      </c>
      <c r="R4" s="1100"/>
      <c r="S4" s="1100"/>
      <c r="T4" s="1100"/>
      <c r="U4" s="1100"/>
      <c r="V4" s="1101"/>
      <c r="W4" s="1099" t="str">
        <f>IF('角色卡'!AA4="","",'角色卡'!AA4)</f>
      </c>
      <c r="X4" s="1100"/>
      <c r="Y4" s="1100"/>
      <c r="Z4" s="1100"/>
      <c r="AA4" s="1100"/>
      <c r="AB4" s="1100"/>
      <c r="AC4" s="1100"/>
      <c r="AD4" s="1101"/>
    </row>
    <row r="5" ht="18" customHeight="1">
      <c r="A5" s="1030"/>
      <c r="B5" s="1031"/>
      <c r="C5" s="1031"/>
      <c r="D5" s="1031"/>
      <c r="E5" s="1031"/>
      <c r="F5" s="1031"/>
      <c r="G5" s="1031"/>
      <c r="H5" s="1031"/>
      <c r="I5" s="1031"/>
      <c r="J5" s="1032"/>
      <c r="K5" s="1102"/>
      <c r="L5" s="1103"/>
      <c r="M5" s="1103"/>
      <c r="N5" s="1103"/>
      <c r="O5" s="1103"/>
      <c r="P5" s="1104"/>
      <c r="Q5" s="1102"/>
      <c r="R5" s="1103"/>
      <c r="S5" s="1103"/>
      <c r="T5" s="1103"/>
      <c r="U5" s="1103"/>
      <c r="V5" s="1104"/>
      <c r="W5" s="1102"/>
      <c r="X5" s="1103"/>
      <c r="Y5" s="1103"/>
      <c r="Z5" s="1103"/>
      <c r="AA5" s="1103"/>
      <c r="AB5" s="1103"/>
      <c r="AC5" s="1103"/>
      <c r="AD5" s="1104"/>
    </row>
    <row r="6" ht="18" customHeight="1">
      <c r="A6" s="1033"/>
      <c r="B6" s="1034"/>
      <c r="C6" s="1034"/>
      <c r="D6" s="1034"/>
      <c r="E6" s="1034"/>
      <c r="F6" s="1034"/>
      <c r="G6" s="1034"/>
      <c r="H6" s="1034"/>
      <c r="I6" s="1034"/>
      <c r="J6" s="1035"/>
      <c r="K6" s="1105"/>
      <c r="L6" s="1106"/>
      <c r="M6" s="1106"/>
      <c r="N6" s="1106"/>
      <c r="O6" s="1106"/>
      <c r="P6" s="1107"/>
      <c r="Q6" s="1105"/>
      <c r="R6" s="1106"/>
      <c r="S6" s="1106"/>
      <c r="T6" s="1106"/>
      <c r="U6" s="1106"/>
      <c r="V6" s="1107"/>
      <c r="W6" s="1105"/>
      <c r="X6" s="1106"/>
      <c r="Y6" s="1106"/>
      <c r="Z6" s="1106"/>
      <c r="AA6" s="1106"/>
      <c r="AB6" s="1106"/>
      <c r="AC6" s="1106"/>
      <c r="AD6" s="1107"/>
    </row>
    <row r="7" ht="18" customHeight="1"/>
    <row r="8" ht="18" customHeight="1">
      <c r="A8" s="213" t="str">
        <v>角色形象 / 外貌描述</v>
      </c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5"/>
      <c r="N8" s="213" t="str">
        <v>背景故事</v>
      </c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5"/>
    </row>
    <row r="9" ht="18" customHeight="1">
      <c r="A9" s="471" t="str"/>
      <c r="B9" s="472"/>
      <c r="C9" s="472"/>
      <c r="D9" s="472"/>
      <c r="E9" s="472"/>
      <c r="F9" s="472"/>
      <c r="G9" s="472"/>
      <c r="H9" s="472"/>
      <c r="I9" s="472"/>
      <c r="J9" s="472"/>
      <c r="K9" s="472"/>
      <c r="L9" s="473"/>
      <c r="N9" s="471" t="str"/>
      <c r="O9" s="472"/>
      <c r="P9" s="472"/>
      <c r="Q9" s="472"/>
      <c r="R9" s="472"/>
      <c r="S9" s="472"/>
      <c r="T9" s="472"/>
      <c r="U9" s="472"/>
      <c r="V9" s="472"/>
      <c r="W9" s="472"/>
      <c r="X9" s="472"/>
      <c r="Y9" s="472"/>
      <c r="Z9" s="472"/>
      <c r="AA9" s="472"/>
      <c r="AB9" s="472"/>
      <c r="AC9" s="472"/>
      <c r="AD9" s="473"/>
    </row>
    <row r="10" ht="18" customHeight="1">
      <c r="A10" s="474"/>
      <c r="B10" s="475"/>
      <c r="C10" s="475"/>
      <c r="D10" s="475"/>
      <c r="E10" s="475"/>
      <c r="F10" s="475"/>
      <c r="G10" s="475"/>
      <c r="H10" s="475"/>
      <c r="I10" s="475"/>
      <c r="J10" s="475"/>
      <c r="K10" s="475"/>
      <c r="L10" s="476"/>
      <c r="N10" s="474"/>
      <c r="O10" s="475"/>
      <c r="P10" s="475"/>
      <c r="Q10" s="475"/>
      <c r="R10" s="475"/>
      <c r="S10" s="475"/>
      <c r="T10" s="475"/>
      <c r="U10" s="475"/>
      <c r="V10" s="475"/>
      <c r="W10" s="475"/>
      <c r="X10" s="475"/>
      <c r="Y10" s="475"/>
      <c r="Z10" s="475"/>
      <c r="AA10" s="475"/>
      <c r="AB10" s="475"/>
      <c r="AC10" s="475"/>
      <c r="AD10" s="476"/>
    </row>
    <row r="11" ht="18" customHeight="1">
      <c r="A11" s="474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6"/>
      <c r="N11" s="474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5"/>
      <c r="AB11" s="475"/>
      <c r="AC11" s="475"/>
      <c r="AD11" s="476"/>
    </row>
    <row r="12" ht="18" customHeight="1">
      <c r="A12" s="474"/>
      <c r="B12" s="475"/>
      <c r="C12" s="475"/>
      <c r="D12" s="475"/>
      <c r="E12" s="475"/>
      <c r="F12" s="475"/>
      <c r="G12" s="475"/>
      <c r="H12" s="475"/>
      <c r="I12" s="475"/>
      <c r="J12" s="475"/>
      <c r="K12" s="475"/>
      <c r="L12" s="476"/>
      <c r="N12" s="474"/>
      <c r="O12" s="475"/>
      <c r="P12" s="475"/>
      <c r="Q12" s="475"/>
      <c r="R12" s="475"/>
      <c r="S12" s="475"/>
      <c r="T12" s="475"/>
      <c r="U12" s="475"/>
      <c r="V12" s="475"/>
      <c r="W12" s="475"/>
      <c r="X12" s="475"/>
      <c r="Y12" s="475"/>
      <c r="Z12" s="475"/>
      <c r="AA12" s="475"/>
      <c r="AB12" s="475"/>
      <c r="AC12" s="475"/>
      <c r="AD12" s="476"/>
    </row>
    <row r="13" ht="18" customHeight="1">
      <c r="A13" s="474"/>
      <c r="B13" s="475"/>
      <c r="C13" s="475"/>
      <c r="D13" s="475"/>
      <c r="E13" s="475"/>
      <c r="F13" s="475"/>
      <c r="G13" s="475"/>
      <c r="H13" s="475"/>
      <c r="I13" s="475"/>
      <c r="J13" s="475"/>
      <c r="K13" s="475"/>
      <c r="L13" s="476"/>
      <c r="N13" s="474"/>
      <c r="O13" s="475"/>
      <c r="P13" s="475"/>
      <c r="Q13" s="475"/>
      <c r="R13" s="475"/>
      <c r="S13" s="475"/>
      <c r="T13" s="475"/>
      <c r="U13" s="475"/>
      <c r="V13" s="475"/>
      <c r="W13" s="475"/>
      <c r="X13" s="475"/>
      <c r="Y13" s="475"/>
      <c r="Z13" s="475"/>
      <c r="AA13" s="475"/>
      <c r="AB13" s="475"/>
      <c r="AC13" s="475"/>
      <c r="AD13" s="476"/>
    </row>
    <row r="14" ht="18" customHeight="1">
      <c r="A14" s="474"/>
      <c r="B14" s="475"/>
      <c r="C14" s="475"/>
      <c r="D14" s="475"/>
      <c r="E14" s="475"/>
      <c r="F14" s="475"/>
      <c r="G14" s="475"/>
      <c r="H14" s="475"/>
      <c r="I14" s="475"/>
      <c r="J14" s="475"/>
      <c r="K14" s="475"/>
      <c r="L14" s="476"/>
      <c r="N14" s="474"/>
      <c r="O14" s="475"/>
      <c r="P14" s="475"/>
      <c r="Q14" s="475"/>
      <c r="R14" s="475"/>
      <c r="S14" s="475"/>
      <c r="T14" s="475"/>
      <c r="U14" s="475"/>
      <c r="V14" s="475"/>
      <c r="W14" s="475"/>
      <c r="X14" s="475"/>
      <c r="Y14" s="475"/>
      <c r="Z14" s="475"/>
      <c r="AA14" s="475"/>
      <c r="AB14" s="475"/>
      <c r="AC14" s="475"/>
      <c r="AD14" s="476"/>
    </row>
    <row r="15" ht="18" customHeight="1">
      <c r="A15" s="474"/>
      <c r="B15" s="475"/>
      <c r="C15" s="475"/>
      <c r="D15" s="475"/>
      <c r="E15" s="475"/>
      <c r="F15" s="475"/>
      <c r="G15" s="475"/>
      <c r="H15" s="475"/>
      <c r="I15" s="475"/>
      <c r="J15" s="475"/>
      <c r="K15" s="475"/>
      <c r="L15" s="476"/>
      <c r="N15" s="474"/>
      <c r="O15" s="475"/>
      <c r="P15" s="475"/>
      <c r="Q15" s="475"/>
      <c r="R15" s="475"/>
      <c r="S15" s="475"/>
      <c r="T15" s="475"/>
      <c r="U15" s="475"/>
      <c r="V15" s="475"/>
      <c r="W15" s="475"/>
      <c r="X15" s="475"/>
      <c r="Y15" s="475"/>
      <c r="Z15" s="475"/>
      <c r="AA15" s="475"/>
      <c r="AB15" s="475"/>
      <c r="AC15" s="475"/>
      <c r="AD15" s="476"/>
    </row>
    <row r="16" ht="18" customHeight="1">
      <c r="A16" s="474"/>
      <c r="B16" s="475"/>
      <c r="C16" s="475"/>
      <c r="D16" s="475"/>
      <c r="E16" s="475"/>
      <c r="F16" s="475"/>
      <c r="G16" s="475"/>
      <c r="H16" s="475"/>
      <c r="I16" s="475"/>
      <c r="J16" s="475"/>
      <c r="K16" s="475"/>
      <c r="L16" s="476"/>
      <c r="N16" s="474"/>
      <c r="O16" s="475"/>
      <c r="P16" s="475"/>
      <c r="Q16" s="475"/>
      <c r="R16" s="475"/>
      <c r="S16" s="475"/>
      <c r="T16" s="475"/>
      <c r="U16" s="475"/>
      <c r="V16" s="475"/>
      <c r="W16" s="475"/>
      <c r="X16" s="475"/>
      <c r="Y16" s="475"/>
      <c r="Z16" s="475"/>
      <c r="AA16" s="475"/>
      <c r="AB16" s="475"/>
      <c r="AC16" s="475"/>
      <c r="AD16" s="476"/>
    </row>
    <row r="17" ht="18" customHeight="1">
      <c r="A17" s="474"/>
      <c r="B17" s="475"/>
      <c r="C17" s="475"/>
      <c r="D17" s="475"/>
      <c r="E17" s="475"/>
      <c r="F17" s="475"/>
      <c r="G17" s="475"/>
      <c r="H17" s="475"/>
      <c r="I17" s="475"/>
      <c r="J17" s="475"/>
      <c r="K17" s="475"/>
      <c r="L17" s="476"/>
      <c r="N17" s="474"/>
      <c r="O17" s="475"/>
      <c r="P17" s="475"/>
      <c r="Q17" s="475"/>
      <c r="R17" s="475"/>
      <c r="S17" s="475"/>
      <c r="T17" s="475"/>
      <c r="U17" s="475"/>
      <c r="V17" s="475"/>
      <c r="W17" s="475"/>
      <c r="X17" s="475"/>
      <c r="Y17" s="475"/>
      <c r="Z17" s="475"/>
      <c r="AA17" s="475"/>
      <c r="AB17" s="475"/>
      <c r="AC17" s="475"/>
      <c r="AD17" s="476"/>
    </row>
    <row r="18" ht="18" customHeight="1">
      <c r="A18" s="474"/>
      <c r="B18" s="475"/>
      <c r="C18" s="475"/>
      <c r="D18" s="475"/>
      <c r="E18" s="475"/>
      <c r="F18" s="475"/>
      <c r="G18" s="475"/>
      <c r="H18" s="475"/>
      <c r="I18" s="475"/>
      <c r="J18" s="475"/>
      <c r="K18" s="475"/>
      <c r="L18" s="476"/>
      <c r="N18" s="474"/>
      <c r="O18" s="475"/>
      <c r="P18" s="475"/>
      <c r="Q18" s="475"/>
      <c r="R18" s="475"/>
      <c r="S18" s="475"/>
      <c r="T18" s="475"/>
      <c r="U18" s="475"/>
      <c r="V18" s="475"/>
      <c r="W18" s="475"/>
      <c r="X18" s="475"/>
      <c r="Y18" s="475"/>
      <c r="Z18" s="475"/>
      <c r="AA18" s="475"/>
      <c r="AB18" s="475"/>
      <c r="AC18" s="475"/>
      <c r="AD18" s="476"/>
    </row>
    <row r="19" ht="18" customHeight="1">
      <c r="A19" s="474"/>
      <c r="B19" s="475"/>
      <c r="C19" s="475"/>
      <c r="D19" s="475"/>
      <c r="E19" s="475"/>
      <c r="F19" s="475"/>
      <c r="G19" s="475"/>
      <c r="H19" s="475"/>
      <c r="I19" s="475"/>
      <c r="J19" s="475"/>
      <c r="K19" s="475"/>
      <c r="L19" s="476"/>
      <c r="N19" s="474"/>
      <c r="O19" s="475"/>
      <c r="P19" s="475"/>
      <c r="Q19" s="475"/>
      <c r="R19" s="475"/>
      <c r="S19" s="475"/>
      <c r="T19" s="475"/>
      <c r="U19" s="475"/>
      <c r="V19" s="475"/>
      <c r="W19" s="475"/>
      <c r="X19" s="475"/>
      <c r="Y19" s="475"/>
      <c r="Z19" s="475"/>
      <c r="AA19" s="475"/>
      <c r="AB19" s="475"/>
      <c r="AC19" s="475"/>
      <c r="AD19" s="476"/>
    </row>
    <row r="20" ht="18" customHeight="1">
      <c r="A20" s="474"/>
      <c r="B20" s="475"/>
      <c r="C20" s="475"/>
      <c r="D20" s="475"/>
      <c r="E20" s="475"/>
      <c r="F20" s="475"/>
      <c r="G20" s="475"/>
      <c r="H20" s="475"/>
      <c r="I20" s="475"/>
      <c r="J20" s="475"/>
      <c r="K20" s="475"/>
      <c r="L20" s="476"/>
      <c r="N20" s="474"/>
      <c r="O20" s="475"/>
      <c r="P20" s="475"/>
      <c r="Q20" s="475"/>
      <c r="R20" s="475"/>
      <c r="S20" s="475"/>
      <c r="T20" s="475"/>
      <c r="U20" s="475"/>
      <c r="V20" s="475"/>
      <c r="W20" s="475"/>
      <c r="X20" s="475"/>
      <c r="Y20" s="475"/>
      <c r="Z20" s="475"/>
      <c r="AA20" s="475"/>
      <c r="AB20" s="475"/>
      <c r="AC20" s="475"/>
      <c r="AD20" s="476"/>
    </row>
    <row r="21" ht="18" customHeight="1">
      <c r="A21" s="474"/>
      <c r="B21" s="475"/>
      <c r="C21" s="475"/>
      <c r="D21" s="475"/>
      <c r="E21" s="475"/>
      <c r="F21" s="475"/>
      <c r="G21" s="475"/>
      <c r="H21" s="475"/>
      <c r="I21" s="475"/>
      <c r="J21" s="475"/>
      <c r="K21" s="475"/>
      <c r="L21" s="476"/>
      <c r="N21" s="474"/>
      <c r="O21" s="475"/>
      <c r="P21" s="475"/>
      <c r="Q21" s="475"/>
      <c r="R21" s="475"/>
      <c r="S21" s="475"/>
      <c r="T21" s="475"/>
      <c r="U21" s="475"/>
      <c r="V21" s="475"/>
      <c r="W21" s="475"/>
      <c r="X21" s="475"/>
      <c r="Y21" s="475"/>
      <c r="Z21" s="475"/>
      <c r="AA21" s="475"/>
      <c r="AB21" s="475"/>
      <c r="AC21" s="475"/>
      <c r="AD21" s="476"/>
    </row>
    <row r="22" ht="18" customHeight="1">
      <c r="A22" s="474"/>
      <c r="B22" s="475"/>
      <c r="C22" s="475"/>
      <c r="D22" s="475"/>
      <c r="E22" s="475"/>
      <c r="F22" s="475"/>
      <c r="G22" s="475"/>
      <c r="H22" s="475"/>
      <c r="I22" s="475"/>
      <c r="J22" s="475"/>
      <c r="K22" s="475"/>
      <c r="L22" s="476"/>
      <c r="N22" s="474"/>
      <c r="O22" s="475"/>
      <c r="P22" s="475"/>
      <c r="Q22" s="475"/>
      <c r="R22" s="475"/>
      <c r="S22" s="475"/>
      <c r="T22" s="475"/>
      <c r="U22" s="475"/>
      <c r="V22" s="475"/>
      <c r="W22" s="475"/>
      <c r="X22" s="475"/>
      <c r="Y22" s="475"/>
      <c r="Z22" s="475"/>
      <c r="AA22" s="475"/>
      <c r="AB22" s="475"/>
      <c r="AC22" s="475"/>
      <c r="AD22" s="476"/>
    </row>
    <row r="23" ht="18" customHeight="1">
      <c r="A23" s="474"/>
      <c r="B23" s="475"/>
      <c r="C23" s="475"/>
      <c r="D23" s="475"/>
      <c r="E23" s="475"/>
      <c r="F23" s="475"/>
      <c r="G23" s="475"/>
      <c r="H23" s="475"/>
      <c r="I23" s="475"/>
      <c r="J23" s="475"/>
      <c r="K23" s="475"/>
      <c r="L23" s="476"/>
      <c r="N23" s="474"/>
      <c r="O23" s="475"/>
      <c r="P23" s="475"/>
      <c r="Q23" s="475"/>
      <c r="R23" s="475"/>
      <c r="S23" s="475"/>
      <c r="T23" s="475"/>
      <c r="U23" s="475"/>
      <c r="V23" s="475"/>
      <c r="W23" s="475"/>
      <c r="X23" s="475"/>
      <c r="Y23" s="475"/>
      <c r="Z23" s="475"/>
      <c r="AA23" s="475"/>
      <c r="AB23" s="475"/>
      <c r="AC23" s="475"/>
      <c r="AD23" s="476"/>
    </row>
    <row r="24" ht="18" customHeight="1">
      <c r="A24" s="474"/>
      <c r="B24" s="475"/>
      <c r="C24" s="475"/>
      <c r="D24" s="475"/>
      <c r="E24" s="475"/>
      <c r="F24" s="475"/>
      <c r="G24" s="475"/>
      <c r="H24" s="475"/>
      <c r="I24" s="475"/>
      <c r="J24" s="475"/>
      <c r="K24" s="475"/>
      <c r="L24" s="476"/>
      <c r="N24" s="474"/>
      <c r="O24" s="475"/>
      <c r="P24" s="475"/>
      <c r="Q24" s="475"/>
      <c r="R24" s="475"/>
      <c r="S24" s="475"/>
      <c r="T24" s="475"/>
      <c r="U24" s="475"/>
      <c r="V24" s="475"/>
      <c r="W24" s="475"/>
      <c r="X24" s="475"/>
      <c r="Y24" s="475"/>
      <c r="Z24" s="475"/>
      <c r="AA24" s="475"/>
      <c r="AB24" s="475"/>
      <c r="AC24" s="475"/>
      <c r="AD24" s="476"/>
    </row>
    <row r="25" ht="18" customHeight="1">
      <c r="A25" s="474"/>
      <c r="B25" s="475"/>
      <c r="C25" s="475"/>
      <c r="D25" s="475"/>
      <c r="E25" s="475"/>
      <c r="F25" s="475"/>
      <c r="G25" s="475"/>
      <c r="H25" s="475"/>
      <c r="I25" s="475"/>
      <c r="J25" s="475"/>
      <c r="K25" s="475"/>
      <c r="L25" s="476"/>
      <c r="N25" s="474"/>
      <c r="O25" s="475"/>
      <c r="P25" s="475"/>
      <c r="Q25" s="475"/>
      <c r="R25" s="475"/>
      <c r="S25" s="475"/>
      <c r="T25" s="475"/>
      <c r="U25" s="475"/>
      <c r="V25" s="475"/>
      <c r="W25" s="475"/>
      <c r="X25" s="475"/>
      <c r="Y25" s="475"/>
      <c r="Z25" s="475"/>
      <c r="AA25" s="475"/>
      <c r="AB25" s="475"/>
      <c r="AC25" s="475"/>
      <c r="AD25" s="476"/>
    </row>
    <row r="26" ht="18" customHeight="1">
      <c r="A26" s="474"/>
      <c r="B26" s="475"/>
      <c r="C26" s="475"/>
      <c r="D26" s="475"/>
      <c r="E26" s="475"/>
      <c r="F26" s="475"/>
      <c r="G26" s="475"/>
      <c r="H26" s="475"/>
      <c r="I26" s="475"/>
      <c r="J26" s="475"/>
      <c r="K26" s="475"/>
      <c r="L26" s="476"/>
      <c r="N26" s="474"/>
      <c r="O26" s="475"/>
      <c r="P26" s="475"/>
      <c r="Q26" s="475"/>
      <c r="R26" s="475"/>
      <c r="S26" s="475"/>
      <c r="T26" s="475"/>
      <c r="U26" s="475"/>
      <c r="V26" s="475"/>
      <c r="W26" s="475"/>
      <c r="X26" s="475"/>
      <c r="Y26" s="475"/>
      <c r="Z26" s="475"/>
      <c r="AA26" s="475"/>
      <c r="AB26" s="475"/>
      <c r="AC26" s="475"/>
      <c r="AD26" s="476"/>
    </row>
    <row r="27" ht="18" customHeight="1">
      <c r="A27" s="474"/>
      <c r="B27" s="475"/>
      <c r="C27" s="475"/>
      <c r="D27" s="475"/>
      <c r="E27" s="475"/>
      <c r="F27" s="475"/>
      <c r="G27" s="475"/>
      <c r="H27" s="475"/>
      <c r="I27" s="475"/>
      <c r="J27" s="475"/>
      <c r="K27" s="475"/>
      <c r="L27" s="476"/>
      <c r="N27" s="474"/>
      <c r="O27" s="475"/>
      <c r="P27" s="475"/>
      <c r="Q27" s="475"/>
      <c r="R27" s="475"/>
      <c r="S27" s="475"/>
      <c r="T27" s="475"/>
      <c r="U27" s="475"/>
      <c r="V27" s="475"/>
      <c r="W27" s="475"/>
      <c r="X27" s="475"/>
      <c r="Y27" s="475"/>
      <c r="Z27" s="475"/>
      <c r="AA27" s="475"/>
      <c r="AB27" s="475"/>
      <c r="AC27" s="475"/>
      <c r="AD27" s="476"/>
    </row>
    <row r="28" ht="18" customHeight="1">
      <c r="A28" s="474"/>
      <c r="B28" s="475"/>
      <c r="C28" s="475"/>
      <c r="D28" s="475"/>
      <c r="E28" s="475"/>
      <c r="F28" s="475"/>
      <c r="G28" s="475"/>
      <c r="H28" s="475"/>
      <c r="I28" s="475"/>
      <c r="J28" s="475"/>
      <c r="K28" s="475"/>
      <c r="L28" s="476"/>
      <c r="N28" s="474"/>
      <c r="O28" s="475"/>
      <c r="P28" s="475"/>
      <c r="Q28" s="475"/>
      <c r="R28" s="475"/>
      <c r="S28" s="475"/>
      <c r="T28" s="475"/>
      <c r="U28" s="475"/>
      <c r="V28" s="475"/>
      <c r="W28" s="475"/>
      <c r="X28" s="475"/>
      <c r="Y28" s="475"/>
      <c r="Z28" s="475"/>
      <c r="AA28" s="475"/>
      <c r="AB28" s="475"/>
      <c r="AC28" s="475"/>
      <c r="AD28" s="476"/>
    </row>
    <row r="29" ht="18" customHeight="1">
      <c r="A29" s="474"/>
      <c r="B29" s="475"/>
      <c r="C29" s="475"/>
      <c r="D29" s="475"/>
      <c r="E29" s="475"/>
      <c r="F29" s="475"/>
      <c r="G29" s="475"/>
      <c r="H29" s="475"/>
      <c r="I29" s="475"/>
      <c r="J29" s="475"/>
      <c r="K29" s="475"/>
      <c r="L29" s="476"/>
      <c r="N29" s="474"/>
      <c r="O29" s="475"/>
      <c r="P29" s="475"/>
      <c r="Q29" s="475"/>
      <c r="R29" s="475"/>
      <c r="S29" s="475"/>
      <c r="T29" s="475"/>
      <c r="U29" s="475"/>
      <c r="V29" s="475"/>
      <c r="W29" s="475"/>
      <c r="X29" s="475"/>
      <c r="Y29" s="475"/>
      <c r="Z29" s="475"/>
      <c r="AA29" s="475"/>
      <c r="AB29" s="475"/>
      <c r="AC29" s="475"/>
      <c r="AD29" s="476"/>
    </row>
    <row r="30" ht="18" customHeight="1">
      <c r="A30" s="474"/>
      <c r="B30" s="475"/>
      <c r="C30" s="475"/>
      <c r="D30" s="475"/>
      <c r="E30" s="475"/>
      <c r="F30" s="475"/>
      <c r="G30" s="475"/>
      <c r="H30" s="475"/>
      <c r="I30" s="475"/>
      <c r="J30" s="475"/>
      <c r="K30" s="475"/>
      <c r="L30" s="476"/>
      <c r="N30" s="474"/>
      <c r="O30" s="475"/>
      <c r="P30" s="475"/>
      <c r="Q30" s="475"/>
      <c r="R30" s="475"/>
      <c r="S30" s="475"/>
      <c r="T30" s="475"/>
      <c r="U30" s="475"/>
      <c r="V30" s="475"/>
      <c r="W30" s="475"/>
      <c r="X30" s="475"/>
      <c r="Y30" s="475"/>
      <c r="Z30" s="475"/>
      <c r="AA30" s="475"/>
      <c r="AB30" s="475"/>
      <c r="AC30" s="475"/>
      <c r="AD30" s="476"/>
    </row>
    <row r="31" ht="18" customHeight="1">
      <c r="A31" s="474"/>
      <c r="B31" s="475"/>
      <c r="C31" s="475"/>
      <c r="D31" s="475"/>
      <c r="E31" s="475"/>
      <c r="F31" s="475"/>
      <c r="G31" s="475"/>
      <c r="H31" s="475"/>
      <c r="I31" s="475"/>
      <c r="J31" s="475"/>
      <c r="K31" s="475"/>
      <c r="L31" s="476"/>
      <c r="N31" s="474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Y31" s="475"/>
      <c r="Z31" s="475"/>
      <c r="AA31" s="475"/>
      <c r="AB31" s="475"/>
      <c r="AC31" s="475"/>
      <c r="AD31" s="476"/>
    </row>
    <row r="32" ht="18" customHeight="1">
      <c r="A32" s="474"/>
      <c r="B32" s="475"/>
      <c r="C32" s="475"/>
      <c r="D32" s="475"/>
      <c r="E32" s="475"/>
      <c r="F32" s="475"/>
      <c r="G32" s="475"/>
      <c r="H32" s="475"/>
      <c r="I32" s="475"/>
      <c r="J32" s="475"/>
      <c r="K32" s="475"/>
      <c r="L32" s="476"/>
      <c r="N32" s="474"/>
      <c r="O32" s="475"/>
      <c r="P32" s="475"/>
      <c r="Q32" s="475"/>
      <c r="R32" s="475"/>
      <c r="S32" s="475"/>
      <c r="T32" s="475"/>
      <c r="U32" s="475"/>
      <c r="V32" s="475"/>
      <c r="W32" s="475"/>
      <c r="X32" s="475"/>
      <c r="Y32" s="475"/>
      <c r="Z32" s="475"/>
      <c r="AA32" s="475"/>
      <c r="AB32" s="475"/>
      <c r="AC32" s="475"/>
      <c r="AD32" s="476"/>
    </row>
    <row r="33" ht="18" customHeight="1">
      <c r="A33" s="474"/>
      <c r="B33" s="475"/>
      <c r="C33" s="475"/>
      <c r="D33" s="475"/>
      <c r="E33" s="475"/>
      <c r="F33" s="475"/>
      <c r="G33" s="475"/>
      <c r="H33" s="475"/>
      <c r="I33" s="475"/>
      <c r="J33" s="475"/>
      <c r="K33" s="475"/>
      <c r="L33" s="476"/>
      <c r="N33" s="474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Y33" s="475"/>
      <c r="Z33" s="475"/>
      <c r="AA33" s="475"/>
      <c r="AB33" s="475"/>
      <c r="AC33" s="475"/>
      <c r="AD33" s="476"/>
    </row>
    <row r="34" ht="18" customHeight="1">
      <c r="A34" s="474"/>
      <c r="B34" s="475"/>
      <c r="C34" s="475"/>
      <c r="D34" s="475"/>
      <c r="E34" s="475"/>
      <c r="F34" s="475"/>
      <c r="G34" s="475"/>
      <c r="H34" s="475"/>
      <c r="I34" s="475"/>
      <c r="J34" s="475"/>
      <c r="K34" s="475"/>
      <c r="L34" s="476"/>
      <c r="N34" s="474"/>
      <c r="O34" s="475"/>
      <c r="P34" s="475"/>
      <c r="Q34" s="475"/>
      <c r="R34" s="475"/>
      <c r="S34" s="475"/>
      <c r="T34" s="475"/>
      <c r="U34" s="475"/>
      <c r="V34" s="475"/>
      <c r="W34" s="475"/>
      <c r="X34" s="475"/>
      <c r="Y34" s="475"/>
      <c r="Z34" s="475"/>
      <c r="AA34" s="475"/>
      <c r="AB34" s="475"/>
      <c r="AC34" s="475"/>
      <c r="AD34" s="476"/>
    </row>
    <row r="35" ht="18" customHeight="1">
      <c r="A35" s="474"/>
      <c r="B35" s="475"/>
      <c r="C35" s="475"/>
      <c r="D35" s="475"/>
      <c r="E35" s="475"/>
      <c r="F35" s="475"/>
      <c r="G35" s="475"/>
      <c r="H35" s="475"/>
      <c r="I35" s="475"/>
      <c r="J35" s="475"/>
      <c r="K35" s="475"/>
      <c r="L35" s="476"/>
      <c r="N35" s="474"/>
      <c r="O35" s="475"/>
      <c r="P35" s="475"/>
      <c r="Q35" s="475"/>
      <c r="R35" s="475"/>
      <c r="S35" s="475"/>
      <c r="T35" s="475"/>
      <c r="U35" s="475"/>
      <c r="V35" s="475"/>
      <c r="W35" s="475"/>
      <c r="X35" s="475"/>
      <c r="Y35" s="475"/>
      <c r="Z35" s="475"/>
      <c r="AA35" s="475"/>
      <c r="AB35" s="475"/>
      <c r="AC35" s="475"/>
      <c r="AD35" s="476"/>
    </row>
    <row r="36" ht="18" customHeight="1">
      <c r="A36" s="477"/>
      <c r="B36" s="478"/>
      <c r="C36" s="478"/>
      <c r="D36" s="478"/>
      <c r="E36" s="478"/>
      <c r="F36" s="478"/>
      <c r="G36" s="478"/>
      <c r="H36" s="478"/>
      <c r="I36" s="478"/>
      <c r="J36" s="478"/>
      <c r="K36" s="478"/>
      <c r="L36" s="479"/>
      <c r="N36" s="477"/>
      <c r="O36" s="478"/>
      <c r="P36" s="478"/>
      <c r="Q36" s="478"/>
      <c r="R36" s="478"/>
      <c r="S36" s="478"/>
      <c r="T36" s="478"/>
      <c r="U36" s="478"/>
      <c r="V36" s="478"/>
      <c r="W36" s="478"/>
      <c r="X36" s="478"/>
      <c r="Y36" s="478"/>
      <c r="Z36" s="478"/>
      <c r="AA36" s="478"/>
      <c r="AB36" s="478"/>
      <c r="AC36" s="478"/>
      <c r="AD36" s="479"/>
    </row>
    <row r="37" ht="18" customHeight="1"/>
    <row r="38" ht="18" customHeight="1">
      <c r="A38" s="213" t="str">
        <v>同盟与组织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5"/>
      <c r="N38" s="213" t="str">
        <v>额外特性与重要经历</v>
      </c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15"/>
    </row>
    <row r="39" ht="18" customHeight="1">
      <c r="A39" s="471" t="str"/>
      <c r="B39" s="472"/>
      <c r="C39" s="472"/>
      <c r="D39" s="472"/>
      <c r="E39" s="472"/>
      <c r="F39" s="472"/>
      <c r="G39" s="472"/>
      <c r="H39" s="472"/>
      <c r="I39" s="472"/>
      <c r="J39" s="472"/>
      <c r="K39" s="472"/>
      <c r="L39" s="473"/>
      <c r="N39" s="471" t="str"/>
      <c r="O39" s="472"/>
      <c r="P39" s="472"/>
      <c r="Q39" s="472"/>
      <c r="R39" s="472"/>
      <c r="S39" s="472"/>
      <c r="T39" s="472"/>
      <c r="U39" s="472"/>
      <c r="V39" s="472"/>
      <c r="W39" s="472"/>
      <c r="X39" s="472"/>
      <c r="Y39" s="472"/>
      <c r="Z39" s="472"/>
      <c r="AA39" s="472"/>
      <c r="AB39" s="472"/>
      <c r="AC39" s="472"/>
      <c r="AD39" s="473"/>
    </row>
    <row r="40" ht="18" customHeight="1">
      <c r="A40" s="474"/>
      <c r="B40" s="475"/>
      <c r="C40" s="475"/>
      <c r="D40" s="475"/>
      <c r="E40" s="475"/>
      <c r="F40" s="475"/>
      <c r="G40" s="475"/>
      <c r="H40" s="475"/>
      <c r="I40" s="475"/>
      <c r="J40" s="475"/>
      <c r="K40" s="475"/>
      <c r="L40" s="476"/>
      <c r="N40" s="474"/>
      <c r="O40" s="475"/>
      <c r="P40" s="475"/>
      <c r="Q40" s="475"/>
      <c r="R40" s="475"/>
      <c r="S40" s="475"/>
      <c r="T40" s="475"/>
      <c r="U40" s="475"/>
      <c r="V40" s="475"/>
      <c r="W40" s="475"/>
      <c r="X40" s="475"/>
      <c r="Y40" s="475"/>
      <c r="Z40" s="475"/>
      <c r="AA40" s="475"/>
      <c r="AB40" s="475"/>
      <c r="AC40" s="475"/>
      <c r="AD40" s="476"/>
    </row>
    <row r="41" ht="18" customHeight="1">
      <c r="A41" s="474"/>
      <c r="B41" s="475"/>
      <c r="C41" s="475"/>
      <c r="D41" s="475"/>
      <c r="E41" s="475"/>
      <c r="F41" s="475"/>
      <c r="G41" s="475"/>
      <c r="H41" s="475"/>
      <c r="I41" s="475"/>
      <c r="J41" s="475"/>
      <c r="K41" s="475"/>
      <c r="L41" s="476"/>
      <c r="N41" s="474"/>
      <c r="O41" s="475"/>
      <c r="P41" s="475"/>
      <c r="Q41" s="475"/>
      <c r="R41" s="475"/>
      <c r="S41" s="475"/>
      <c r="T41" s="475"/>
      <c r="U41" s="475"/>
      <c r="V41" s="475"/>
      <c r="W41" s="475"/>
      <c r="X41" s="475"/>
      <c r="Y41" s="475"/>
      <c r="Z41" s="475"/>
      <c r="AA41" s="475"/>
      <c r="AB41" s="475"/>
      <c r="AC41" s="475"/>
      <c r="AD41" s="476"/>
    </row>
    <row r="42" ht="18" customHeight="1">
      <c r="A42" s="474"/>
      <c r="B42" s="475"/>
      <c r="C42" s="475"/>
      <c r="D42" s="475"/>
      <c r="E42" s="475"/>
      <c r="F42" s="475"/>
      <c r="G42" s="475"/>
      <c r="H42" s="475"/>
      <c r="I42" s="475"/>
      <c r="J42" s="475"/>
      <c r="K42" s="475"/>
      <c r="L42" s="476"/>
      <c r="N42" s="474"/>
      <c r="O42" s="475"/>
      <c r="P42" s="475"/>
      <c r="Q42" s="475"/>
      <c r="R42" s="475"/>
      <c r="S42" s="475"/>
      <c r="T42" s="475"/>
      <c r="U42" s="475"/>
      <c r="V42" s="475"/>
      <c r="W42" s="475"/>
      <c r="X42" s="475"/>
      <c r="Y42" s="475"/>
      <c r="Z42" s="475"/>
      <c r="AA42" s="475"/>
      <c r="AB42" s="475"/>
      <c r="AC42" s="475"/>
      <c r="AD42" s="476"/>
    </row>
    <row r="43" ht="18" customHeight="1">
      <c r="A43" s="474"/>
      <c r="B43" s="475"/>
      <c r="C43" s="475"/>
      <c r="D43" s="475"/>
      <c r="E43" s="475"/>
      <c r="F43" s="475"/>
      <c r="G43" s="475"/>
      <c r="H43" s="475"/>
      <c r="I43" s="475"/>
      <c r="J43" s="475"/>
      <c r="K43" s="475"/>
      <c r="L43" s="476"/>
      <c r="N43" s="474"/>
      <c r="O43" s="475"/>
      <c r="P43" s="475"/>
      <c r="Q43" s="475"/>
      <c r="R43" s="475"/>
      <c r="S43" s="475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6"/>
    </row>
    <row r="44" ht="18" customHeight="1">
      <c r="A44" s="474"/>
      <c r="B44" s="475"/>
      <c r="C44" s="475"/>
      <c r="D44" s="475"/>
      <c r="E44" s="475"/>
      <c r="F44" s="475"/>
      <c r="G44" s="475"/>
      <c r="H44" s="475"/>
      <c r="I44" s="475"/>
      <c r="J44" s="475"/>
      <c r="K44" s="475"/>
      <c r="L44" s="476"/>
      <c r="N44" s="474"/>
      <c r="O44" s="475"/>
      <c r="P44" s="475"/>
      <c r="Q44" s="475"/>
      <c r="R44" s="475"/>
      <c r="S44" s="475"/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6"/>
    </row>
    <row r="45" ht="18" customHeight="1">
      <c r="A45" s="474"/>
      <c r="B45" s="475"/>
      <c r="C45" s="475"/>
      <c r="D45" s="475"/>
      <c r="E45" s="475"/>
      <c r="F45" s="475"/>
      <c r="G45" s="475"/>
      <c r="H45" s="475"/>
      <c r="I45" s="475"/>
      <c r="J45" s="475"/>
      <c r="K45" s="475"/>
      <c r="L45" s="476"/>
      <c r="N45" s="474"/>
      <c r="O45" s="475"/>
      <c r="P45" s="475"/>
      <c r="Q45" s="475"/>
      <c r="R45" s="475"/>
      <c r="S45" s="475"/>
      <c r="T45" s="475"/>
      <c r="U45" s="475"/>
      <c r="V45" s="475"/>
      <c r="W45" s="475"/>
      <c r="X45" s="475"/>
      <c r="Y45" s="475"/>
      <c r="Z45" s="475"/>
      <c r="AA45" s="475"/>
      <c r="AB45" s="475"/>
      <c r="AC45" s="475"/>
      <c r="AD45" s="476"/>
    </row>
    <row r="46" ht="18" customHeight="1">
      <c r="A46" s="474"/>
      <c r="B46" s="475"/>
      <c r="C46" s="475"/>
      <c r="D46" s="475"/>
      <c r="E46" s="475"/>
      <c r="F46" s="475"/>
      <c r="G46" s="475"/>
      <c r="H46" s="475"/>
      <c r="I46" s="475"/>
      <c r="J46" s="475"/>
      <c r="K46" s="475"/>
      <c r="L46" s="476"/>
      <c r="N46" s="474"/>
      <c r="O46" s="475"/>
      <c r="P46" s="475"/>
      <c r="Q46" s="475"/>
      <c r="R46" s="475"/>
      <c r="S46" s="475"/>
      <c r="T46" s="475"/>
      <c r="U46" s="475"/>
      <c r="V46" s="475"/>
      <c r="W46" s="475"/>
      <c r="X46" s="475"/>
      <c r="Y46" s="475"/>
      <c r="Z46" s="475"/>
      <c r="AA46" s="475"/>
      <c r="AB46" s="475"/>
      <c r="AC46" s="475"/>
      <c r="AD46" s="476"/>
    </row>
    <row r="47" ht="18" customHeight="1">
      <c r="A47" s="474"/>
      <c r="B47" s="475"/>
      <c r="C47" s="475"/>
      <c r="D47" s="475"/>
      <c r="E47" s="475"/>
      <c r="F47" s="475"/>
      <c r="G47" s="475"/>
      <c r="H47" s="475"/>
      <c r="I47" s="475"/>
      <c r="J47" s="475"/>
      <c r="K47" s="475"/>
      <c r="L47" s="476"/>
      <c r="N47" s="474"/>
      <c r="O47" s="475"/>
      <c r="P47" s="475"/>
      <c r="Q47" s="475"/>
      <c r="R47" s="475"/>
      <c r="S47" s="475"/>
      <c r="T47" s="475"/>
      <c r="U47" s="475"/>
      <c r="V47" s="475"/>
      <c r="W47" s="475"/>
      <c r="X47" s="475"/>
      <c r="Y47" s="475"/>
      <c r="Z47" s="475"/>
      <c r="AA47" s="475"/>
      <c r="AB47" s="475"/>
      <c r="AC47" s="475"/>
      <c r="AD47" s="476"/>
    </row>
    <row r="48" ht="18" customHeight="1">
      <c r="A48" s="474"/>
      <c r="B48" s="475"/>
      <c r="C48" s="475"/>
      <c r="D48" s="475"/>
      <c r="E48" s="475"/>
      <c r="F48" s="475"/>
      <c r="G48" s="475"/>
      <c r="H48" s="475"/>
      <c r="I48" s="475"/>
      <c r="J48" s="475"/>
      <c r="K48" s="475"/>
      <c r="L48" s="476"/>
      <c r="N48" s="474"/>
      <c r="O48" s="475"/>
      <c r="P48" s="475"/>
      <c r="Q48" s="475"/>
      <c r="R48" s="475"/>
      <c r="S48" s="475"/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476"/>
    </row>
    <row r="49" ht="18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N49" s="474"/>
      <c r="O49" s="475"/>
      <c r="P49" s="475"/>
      <c r="Q49" s="475"/>
      <c r="R49" s="475"/>
      <c r="S49" s="475"/>
      <c r="T49" s="475"/>
      <c r="U49" s="475"/>
      <c r="V49" s="475"/>
      <c r="W49" s="475"/>
      <c r="X49" s="475"/>
      <c r="Y49" s="475"/>
      <c r="Z49" s="475"/>
      <c r="AA49" s="475"/>
      <c r="AB49" s="475"/>
      <c r="AC49" s="475"/>
      <c r="AD49" s="476"/>
    </row>
    <row r="50" ht="18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  <c r="N50" s="474"/>
      <c r="O50" s="475"/>
      <c r="P50" s="475"/>
      <c r="Q50" s="475"/>
      <c r="R50" s="475"/>
      <c r="S50" s="475"/>
      <c r="T50" s="475"/>
      <c r="U50" s="475"/>
      <c r="V50" s="475"/>
      <c r="W50" s="475"/>
      <c r="X50" s="475"/>
      <c r="Y50" s="475"/>
      <c r="Z50" s="475"/>
      <c r="AA50" s="475"/>
      <c r="AB50" s="475"/>
      <c r="AC50" s="475"/>
      <c r="AD50" s="476"/>
    </row>
    <row r="51" ht="18" customHeight="1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  <c r="N51" s="474"/>
      <c r="O51" s="475"/>
      <c r="P51" s="475"/>
      <c r="Q51" s="475"/>
      <c r="R51" s="475"/>
      <c r="S51" s="475"/>
      <c r="T51" s="475"/>
      <c r="U51" s="475"/>
      <c r="V51" s="475"/>
      <c r="W51" s="475"/>
      <c r="X51" s="475"/>
      <c r="Y51" s="475"/>
      <c r="Z51" s="475"/>
      <c r="AA51" s="475"/>
      <c r="AB51" s="475"/>
      <c r="AC51" s="475"/>
      <c r="AD51" s="476"/>
    </row>
    <row r="52" ht="18" customHeight="1">
      <c r="A52" s="474"/>
      <c r="B52" s="475"/>
      <c r="C52" s="475"/>
      <c r="D52" s="475"/>
      <c r="E52" s="475"/>
      <c r="F52" s="475"/>
      <c r="G52" s="475"/>
      <c r="H52" s="475"/>
      <c r="I52" s="475"/>
      <c r="J52" s="475"/>
      <c r="K52" s="475"/>
      <c r="L52" s="476"/>
      <c r="N52" s="474"/>
      <c r="O52" s="475"/>
      <c r="P52" s="475"/>
      <c r="Q52" s="475"/>
      <c r="R52" s="475"/>
      <c r="S52" s="475"/>
      <c r="T52" s="475"/>
      <c r="U52" s="475"/>
      <c r="V52" s="475"/>
      <c r="W52" s="475"/>
      <c r="X52" s="475"/>
      <c r="Y52" s="475"/>
      <c r="Z52" s="475"/>
      <c r="AA52" s="475"/>
      <c r="AB52" s="475"/>
      <c r="AC52" s="475"/>
      <c r="AD52" s="476"/>
    </row>
    <row r="53" ht="18" customHeight="1">
      <c r="A53" s="474"/>
      <c r="B53" s="475"/>
      <c r="C53" s="475"/>
      <c r="D53" s="475"/>
      <c r="E53" s="475"/>
      <c r="F53" s="475"/>
      <c r="G53" s="475"/>
      <c r="H53" s="475"/>
      <c r="I53" s="475"/>
      <c r="J53" s="475"/>
      <c r="K53" s="475"/>
      <c r="L53" s="476"/>
      <c r="N53" s="474"/>
      <c r="O53" s="475"/>
      <c r="P53" s="475"/>
      <c r="Q53" s="475"/>
      <c r="R53" s="475"/>
      <c r="S53" s="475"/>
      <c r="T53" s="475"/>
      <c r="U53" s="475"/>
      <c r="V53" s="475"/>
      <c r="W53" s="475"/>
      <c r="X53" s="475"/>
      <c r="Y53" s="475"/>
      <c r="Z53" s="475"/>
      <c r="AA53" s="475"/>
      <c r="AB53" s="475"/>
      <c r="AC53" s="475"/>
      <c r="AD53" s="476"/>
    </row>
    <row r="54" ht="18" customHeight="1">
      <c r="A54" s="474"/>
      <c r="B54" s="475"/>
      <c r="C54" s="475"/>
      <c r="D54" s="475"/>
      <c r="E54" s="475"/>
      <c r="F54" s="475"/>
      <c r="G54" s="475"/>
      <c r="H54" s="475"/>
      <c r="I54" s="475"/>
      <c r="J54" s="475"/>
      <c r="K54" s="475"/>
      <c r="L54" s="476"/>
      <c r="N54" s="474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6"/>
    </row>
    <row r="55" ht="18" customHeight="1">
      <c r="A55" s="477"/>
      <c r="B55" s="478"/>
      <c r="C55" s="478"/>
      <c r="D55" s="478"/>
      <c r="E55" s="478"/>
      <c r="F55" s="478"/>
      <c r="G55" s="478"/>
      <c r="H55" s="478"/>
      <c r="I55" s="478"/>
      <c r="J55" s="478"/>
      <c r="K55" s="478"/>
      <c r="L55" s="479"/>
      <c r="N55" s="477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9"/>
    </row>
    <row r="56" ht="18" customHeight="1"/>
    <row r="57" ht="18" customHeight="1">
      <c r="A57" s="213" t="str">
        <v>财宝、重要物品与备注</v>
      </c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215"/>
    </row>
    <row r="58" ht="18" customHeight="1">
      <c r="A58" s="471" t="str"/>
      <c r="B58" s="472"/>
      <c r="C58" s="472"/>
      <c r="D58" s="472"/>
      <c r="E58" s="472"/>
      <c r="F58" s="472"/>
      <c r="G58" s="472"/>
      <c r="H58" s="472"/>
      <c r="I58" s="472"/>
      <c r="J58" s="472"/>
      <c r="K58" s="472"/>
      <c r="L58" s="472"/>
      <c r="M58" s="472"/>
      <c r="N58" s="472"/>
      <c r="O58" s="472"/>
      <c r="P58" s="472"/>
      <c r="Q58" s="472"/>
      <c r="R58" s="472"/>
      <c r="S58" s="472"/>
      <c r="T58" s="472"/>
      <c r="U58" s="472"/>
      <c r="V58" s="472"/>
      <c r="W58" s="472"/>
      <c r="X58" s="472"/>
      <c r="Y58" s="472"/>
      <c r="Z58" s="472"/>
      <c r="AA58" s="472"/>
      <c r="AB58" s="472"/>
      <c r="AC58" s="472"/>
      <c r="AD58" s="473"/>
    </row>
    <row r="59" ht="18" customHeight="1">
      <c r="A59" s="474"/>
      <c r="B59" s="475"/>
      <c r="C59" s="475"/>
      <c r="D59" s="475"/>
      <c r="E59" s="475"/>
      <c r="F59" s="475"/>
      <c r="G59" s="475"/>
      <c r="H59" s="475"/>
      <c r="I59" s="475"/>
      <c r="J59" s="475"/>
      <c r="K59" s="475"/>
      <c r="L59" s="475"/>
      <c r="M59" s="475"/>
      <c r="N59" s="475"/>
      <c r="O59" s="475"/>
      <c r="P59" s="475"/>
      <c r="Q59" s="475"/>
      <c r="R59" s="475"/>
      <c r="S59" s="475"/>
      <c r="T59" s="475"/>
      <c r="U59" s="475"/>
      <c r="V59" s="475"/>
      <c r="W59" s="475"/>
      <c r="X59" s="475"/>
      <c r="Y59" s="475"/>
      <c r="Z59" s="475"/>
      <c r="AA59" s="475"/>
      <c r="AB59" s="475"/>
      <c r="AC59" s="475"/>
      <c r="AD59" s="476"/>
    </row>
    <row r="60" ht="18" customHeight="1">
      <c r="A60" s="474"/>
      <c r="B60" s="475"/>
      <c r="C60" s="475"/>
      <c r="D60" s="475"/>
      <c r="E60" s="475"/>
      <c r="F60" s="475"/>
      <c r="G60" s="475"/>
      <c r="H60" s="475"/>
      <c r="I60" s="475"/>
      <c r="J60" s="475"/>
      <c r="K60" s="475"/>
      <c r="L60" s="475"/>
      <c r="M60" s="475"/>
      <c r="N60" s="475"/>
      <c r="O60" s="475"/>
      <c r="P60" s="475"/>
      <c r="Q60" s="475"/>
      <c r="R60" s="475"/>
      <c r="S60" s="475"/>
      <c r="T60" s="475"/>
      <c r="U60" s="475"/>
      <c r="V60" s="475"/>
      <c r="W60" s="475"/>
      <c r="X60" s="475"/>
      <c r="Y60" s="475"/>
      <c r="Z60" s="475"/>
      <c r="AA60" s="475"/>
      <c r="AB60" s="475"/>
      <c r="AC60" s="475"/>
      <c r="AD60" s="476"/>
    </row>
    <row r="61" ht="18" customHeight="1">
      <c r="A61" s="474"/>
      <c r="B61" s="475"/>
      <c r="C61" s="475"/>
      <c r="D61" s="475"/>
      <c r="E61" s="475"/>
      <c r="F61" s="475"/>
      <c r="G61" s="475"/>
      <c r="H61" s="475"/>
      <c r="I61" s="475"/>
      <c r="J61" s="475"/>
      <c r="K61" s="475"/>
      <c r="L61" s="475"/>
      <c r="M61" s="475"/>
      <c r="N61" s="475"/>
      <c r="O61" s="475"/>
      <c r="P61" s="475"/>
      <c r="Q61" s="475"/>
      <c r="R61" s="475"/>
      <c r="S61" s="475"/>
      <c r="T61" s="475"/>
      <c r="U61" s="475"/>
      <c r="V61" s="475"/>
      <c r="W61" s="475"/>
      <c r="X61" s="475"/>
      <c r="Y61" s="475"/>
      <c r="Z61" s="475"/>
      <c r="AA61" s="475"/>
      <c r="AB61" s="475"/>
      <c r="AC61" s="475"/>
      <c r="AD61" s="476"/>
    </row>
    <row r="62" ht="18" customHeight="1">
      <c r="A62" s="474"/>
      <c r="B62" s="475"/>
      <c r="C62" s="475"/>
      <c r="D62" s="475"/>
      <c r="E62" s="475"/>
      <c r="F62" s="475"/>
      <c r="G62" s="475"/>
      <c r="H62" s="475"/>
      <c r="I62" s="475"/>
      <c r="J62" s="475"/>
      <c r="K62" s="475"/>
      <c r="L62" s="475"/>
      <c r="M62" s="475"/>
      <c r="N62" s="475"/>
      <c r="O62" s="475"/>
      <c r="P62" s="475"/>
      <c r="Q62" s="475"/>
      <c r="R62" s="475"/>
      <c r="S62" s="475"/>
      <c r="T62" s="475"/>
      <c r="U62" s="475"/>
      <c r="V62" s="475"/>
      <c r="W62" s="475"/>
      <c r="X62" s="475"/>
      <c r="Y62" s="475"/>
      <c r="Z62" s="475"/>
      <c r="AA62" s="475"/>
      <c r="AB62" s="475"/>
      <c r="AC62" s="475"/>
      <c r="AD62" s="476"/>
    </row>
    <row r="63" ht="18" customHeight="1">
      <c r="A63" s="474"/>
      <c r="B63" s="475"/>
      <c r="C63" s="475"/>
      <c r="D63" s="475"/>
      <c r="E63" s="475"/>
      <c r="F63" s="475"/>
      <c r="G63" s="475"/>
      <c r="H63" s="475"/>
      <c r="I63" s="475"/>
      <c r="J63" s="475"/>
      <c r="K63" s="475"/>
      <c r="L63" s="475"/>
      <c r="M63" s="475"/>
      <c r="N63" s="475"/>
      <c r="O63" s="475"/>
      <c r="P63" s="475"/>
      <c r="Q63" s="475"/>
      <c r="R63" s="475"/>
      <c r="S63" s="475"/>
      <c r="T63" s="475"/>
      <c r="U63" s="475"/>
      <c r="V63" s="475"/>
      <c r="W63" s="475"/>
      <c r="X63" s="475"/>
      <c r="Y63" s="475"/>
      <c r="Z63" s="475"/>
      <c r="AA63" s="475"/>
      <c r="AB63" s="475"/>
      <c r="AC63" s="475"/>
      <c r="AD63" s="476"/>
    </row>
    <row r="64" ht="18" customHeight="1">
      <c r="A64" s="474"/>
      <c r="B64" s="475"/>
      <c r="C64" s="475"/>
      <c r="D64" s="475"/>
      <c r="E64" s="475"/>
      <c r="F64" s="475"/>
      <c r="G64" s="475"/>
      <c r="H64" s="475"/>
      <c r="I64" s="475"/>
      <c r="J64" s="475"/>
      <c r="K64" s="475"/>
      <c r="L64" s="475"/>
      <c r="M64" s="475"/>
      <c r="N64" s="475"/>
      <c r="O64" s="475"/>
      <c r="P64" s="475"/>
      <c r="Q64" s="475"/>
      <c r="R64" s="475"/>
      <c r="S64" s="475"/>
      <c r="T64" s="475"/>
      <c r="U64" s="475"/>
      <c r="V64" s="475"/>
      <c r="W64" s="475"/>
      <c r="X64" s="475"/>
      <c r="Y64" s="475"/>
      <c r="Z64" s="475"/>
      <c r="AA64" s="475"/>
      <c r="AB64" s="475"/>
      <c r="AC64" s="475"/>
      <c r="AD64" s="476"/>
    </row>
    <row r="65" ht="18" customHeight="1">
      <c r="A65" s="474"/>
      <c r="B65" s="475"/>
      <c r="C65" s="475"/>
      <c r="D65" s="475"/>
      <c r="E65" s="475"/>
      <c r="F65" s="475"/>
      <c r="G65" s="475"/>
      <c r="H65" s="475"/>
      <c r="I65" s="475"/>
      <c r="J65" s="475"/>
      <c r="K65" s="475"/>
      <c r="L65" s="475"/>
      <c r="M65" s="475"/>
      <c r="N65" s="475"/>
      <c r="O65" s="475"/>
      <c r="P65" s="475"/>
      <c r="Q65" s="475"/>
      <c r="R65" s="475"/>
      <c r="S65" s="475"/>
      <c r="T65" s="475"/>
      <c r="U65" s="475"/>
      <c r="V65" s="475"/>
      <c r="W65" s="475"/>
      <c r="X65" s="475"/>
      <c r="Y65" s="475"/>
      <c r="Z65" s="475"/>
      <c r="AA65" s="475"/>
      <c r="AB65" s="475"/>
      <c r="AC65" s="475"/>
      <c r="AD65" s="476"/>
    </row>
    <row r="66" ht="18" customHeight="1">
      <c r="A66" s="474"/>
      <c r="B66" s="475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475"/>
      <c r="N66" s="475"/>
      <c r="O66" s="475"/>
      <c r="P66" s="475"/>
      <c r="Q66" s="475"/>
      <c r="R66" s="475"/>
      <c r="S66" s="475"/>
      <c r="T66" s="475"/>
      <c r="U66" s="475"/>
      <c r="V66" s="475"/>
      <c r="W66" s="475"/>
      <c r="X66" s="475"/>
      <c r="Y66" s="475"/>
      <c r="Z66" s="475"/>
      <c r="AA66" s="475"/>
      <c r="AB66" s="475"/>
      <c r="AC66" s="475"/>
      <c r="AD66" s="476"/>
    </row>
    <row r="67" ht="18" customHeight="1">
      <c r="A67" s="474"/>
      <c r="B67" s="475"/>
      <c r="C67" s="475"/>
      <c r="D67" s="475"/>
      <c r="E67" s="475"/>
      <c r="F67" s="475"/>
      <c r="G67" s="475"/>
      <c r="H67" s="475"/>
      <c r="I67" s="475"/>
      <c r="J67" s="475"/>
      <c r="K67" s="475"/>
      <c r="L67" s="475"/>
      <c r="M67" s="475"/>
      <c r="N67" s="475"/>
      <c r="O67" s="475"/>
      <c r="P67" s="475"/>
      <c r="Q67" s="475"/>
      <c r="R67" s="475"/>
      <c r="S67" s="475"/>
      <c r="T67" s="475"/>
      <c r="U67" s="475"/>
      <c r="V67" s="475"/>
      <c r="W67" s="475"/>
      <c r="X67" s="475"/>
      <c r="Y67" s="475"/>
      <c r="Z67" s="475"/>
      <c r="AA67" s="475"/>
      <c r="AB67" s="475"/>
      <c r="AC67" s="475"/>
      <c r="AD67" s="476"/>
    </row>
    <row r="68" ht="18" customHeight="1">
      <c r="A68" s="474"/>
      <c r="B68" s="475"/>
      <c r="C68" s="475"/>
      <c r="D68" s="475"/>
      <c r="E68" s="475"/>
      <c r="F68" s="475"/>
      <c r="G68" s="475"/>
      <c r="H68" s="475"/>
      <c r="I68" s="475"/>
      <c r="J68" s="475"/>
      <c r="K68" s="475"/>
      <c r="L68" s="475"/>
      <c r="M68" s="475"/>
      <c r="N68" s="475"/>
      <c r="O68" s="475"/>
      <c r="P68" s="475"/>
      <c r="Q68" s="475"/>
      <c r="R68" s="475"/>
      <c r="S68" s="475"/>
      <c r="T68" s="475"/>
      <c r="U68" s="475"/>
      <c r="V68" s="475"/>
      <c r="W68" s="475"/>
      <c r="X68" s="475"/>
      <c r="Y68" s="475"/>
      <c r="Z68" s="475"/>
      <c r="AA68" s="475"/>
      <c r="AB68" s="475"/>
      <c r="AC68" s="475"/>
      <c r="AD68" s="476"/>
    </row>
    <row r="69" ht="18" customHeight="1">
      <c r="A69" s="474"/>
      <c r="B69" s="475"/>
      <c r="C69" s="475"/>
      <c r="D69" s="475"/>
      <c r="E69" s="475"/>
      <c r="F69" s="475"/>
      <c r="G69" s="475"/>
      <c r="H69" s="475"/>
      <c r="I69" s="475"/>
      <c r="J69" s="475"/>
      <c r="K69" s="475"/>
      <c r="L69" s="475"/>
      <c r="M69" s="475"/>
      <c r="N69" s="475"/>
      <c r="O69" s="475"/>
      <c r="P69" s="475"/>
      <c r="Q69" s="475"/>
      <c r="R69" s="475"/>
      <c r="S69" s="475"/>
      <c r="T69" s="475"/>
      <c r="U69" s="475"/>
      <c r="V69" s="475"/>
      <c r="W69" s="475"/>
      <c r="X69" s="475"/>
      <c r="Y69" s="475"/>
      <c r="Z69" s="475"/>
      <c r="AA69" s="475"/>
      <c r="AB69" s="475"/>
      <c r="AC69" s="475"/>
      <c r="AD69" s="476"/>
    </row>
    <row r="70" ht="18" customHeight="1">
      <c r="A70" s="474"/>
      <c r="B70" s="475"/>
      <c r="C70" s="475"/>
      <c r="D70" s="475"/>
      <c r="E70" s="475"/>
      <c r="F70" s="475"/>
      <c r="G70" s="475"/>
      <c r="H70" s="475"/>
      <c r="I70" s="475"/>
      <c r="J70" s="475"/>
      <c r="K70" s="475"/>
      <c r="L70" s="475"/>
      <c r="M70" s="475"/>
      <c r="N70" s="475"/>
      <c r="O70" s="475"/>
      <c r="P70" s="475"/>
      <c r="Q70" s="475"/>
      <c r="R70" s="475"/>
      <c r="S70" s="475"/>
      <c r="T70" s="475"/>
      <c r="U70" s="475"/>
      <c r="V70" s="475"/>
      <c r="W70" s="475"/>
      <c r="X70" s="475"/>
      <c r="Y70" s="475"/>
      <c r="Z70" s="475"/>
      <c r="AA70" s="475"/>
      <c r="AB70" s="475"/>
      <c r="AC70" s="475"/>
      <c r="AD70" s="476"/>
    </row>
    <row r="71" ht="18" customHeight="1">
      <c r="A71" s="474"/>
      <c r="B71" s="475"/>
      <c r="C71" s="475"/>
      <c r="D71" s="475"/>
      <c r="E71" s="475"/>
      <c r="F71" s="475"/>
      <c r="G71" s="475"/>
      <c r="H71" s="475"/>
      <c r="I71" s="475"/>
      <c r="J71" s="475"/>
      <c r="K71" s="475"/>
      <c r="L71" s="475"/>
      <c r="M71" s="475"/>
      <c r="N71" s="475"/>
      <c r="O71" s="475"/>
      <c r="P71" s="475"/>
      <c r="Q71" s="475"/>
      <c r="R71" s="475"/>
      <c r="S71" s="475"/>
      <c r="T71" s="475"/>
      <c r="U71" s="475"/>
      <c r="V71" s="475"/>
      <c r="W71" s="475"/>
      <c r="X71" s="475"/>
      <c r="Y71" s="475"/>
      <c r="Z71" s="475"/>
      <c r="AA71" s="475"/>
      <c r="AB71" s="475"/>
      <c r="AC71" s="475"/>
      <c r="AD71" s="476"/>
    </row>
    <row r="72" ht="18" customHeight="1">
      <c r="A72" s="474"/>
      <c r="B72" s="475"/>
      <c r="C72" s="475"/>
      <c r="D72" s="475"/>
      <c r="E72" s="475"/>
      <c r="F72" s="475"/>
      <c r="G72" s="475"/>
      <c r="H72" s="475"/>
      <c r="I72" s="475"/>
      <c r="J72" s="475"/>
      <c r="K72" s="475"/>
      <c r="L72" s="475"/>
      <c r="M72" s="475"/>
      <c r="N72" s="475"/>
      <c r="O72" s="475"/>
      <c r="P72" s="475"/>
      <c r="Q72" s="475"/>
      <c r="R72" s="475"/>
      <c r="S72" s="475"/>
      <c r="T72" s="475"/>
      <c r="U72" s="475"/>
      <c r="V72" s="475"/>
      <c r="W72" s="475"/>
      <c r="X72" s="475"/>
      <c r="Y72" s="475"/>
      <c r="Z72" s="475"/>
      <c r="AA72" s="475"/>
      <c r="AB72" s="475"/>
      <c r="AC72" s="475"/>
      <c r="AD72" s="476"/>
    </row>
    <row r="73" ht="18" customHeight="1">
      <c r="A73" s="474"/>
      <c r="B73" s="475"/>
      <c r="C73" s="475"/>
      <c r="D73" s="475"/>
      <c r="E73" s="475"/>
      <c r="F73" s="475"/>
      <c r="G73" s="475"/>
      <c r="H73" s="475"/>
      <c r="I73" s="475"/>
      <c r="J73" s="475"/>
      <c r="K73" s="475"/>
      <c r="L73" s="475"/>
      <c r="M73" s="475"/>
      <c r="N73" s="475"/>
      <c r="O73" s="475"/>
      <c r="P73" s="475"/>
      <c r="Q73" s="475"/>
      <c r="R73" s="475"/>
      <c r="S73" s="475"/>
      <c r="T73" s="475"/>
      <c r="U73" s="475"/>
      <c r="V73" s="475"/>
      <c r="W73" s="475"/>
      <c r="X73" s="475"/>
      <c r="Y73" s="475"/>
      <c r="Z73" s="475"/>
      <c r="AA73" s="475"/>
      <c r="AB73" s="475"/>
      <c r="AC73" s="475"/>
      <c r="AD73" s="476"/>
    </row>
    <row r="74" ht="18" customHeight="1">
      <c r="A74" s="474"/>
      <c r="B74" s="475"/>
      <c r="C74" s="475"/>
      <c r="D74" s="475"/>
      <c r="E74" s="475"/>
      <c r="F74" s="475"/>
      <c r="G74" s="475"/>
      <c r="H74" s="475"/>
      <c r="I74" s="475"/>
      <c r="J74" s="475"/>
      <c r="K74" s="475"/>
      <c r="L74" s="475"/>
      <c r="M74" s="475"/>
      <c r="N74" s="475"/>
      <c r="O74" s="475"/>
      <c r="P74" s="475"/>
      <c r="Q74" s="475"/>
      <c r="R74" s="475"/>
      <c r="S74" s="475"/>
      <c r="T74" s="475"/>
      <c r="U74" s="475"/>
      <c r="V74" s="475"/>
      <c r="W74" s="475"/>
      <c r="X74" s="475"/>
      <c r="Y74" s="475"/>
      <c r="Z74" s="475"/>
      <c r="AA74" s="475"/>
      <c r="AB74" s="475"/>
      <c r="AC74" s="475"/>
      <c r="AD74" s="476"/>
    </row>
    <row r="75" ht="18" customHeight="1">
      <c r="A75" s="474"/>
      <c r="B75" s="475"/>
      <c r="C75" s="475"/>
      <c r="D75" s="475"/>
      <c r="E75" s="475"/>
      <c r="F75" s="475"/>
      <c r="G75" s="475"/>
      <c r="H75" s="475"/>
      <c r="I75" s="475"/>
      <c r="J75" s="475"/>
      <c r="K75" s="475"/>
      <c r="L75" s="475"/>
      <c r="M75" s="475"/>
      <c r="N75" s="475"/>
      <c r="O75" s="475"/>
      <c r="P75" s="475"/>
      <c r="Q75" s="475"/>
      <c r="R75" s="475"/>
      <c r="S75" s="475"/>
      <c r="T75" s="475"/>
      <c r="U75" s="475"/>
      <c r="V75" s="475"/>
      <c r="W75" s="475"/>
      <c r="X75" s="475"/>
      <c r="Y75" s="475"/>
      <c r="Z75" s="475"/>
      <c r="AA75" s="475"/>
      <c r="AB75" s="475"/>
      <c r="AC75" s="475"/>
      <c r="AD75" s="476"/>
    </row>
    <row r="76" ht="18" customHeight="1">
      <c r="A76" s="477"/>
      <c r="B76" s="478"/>
      <c r="C76" s="478"/>
      <c r="D76" s="478"/>
      <c r="E76" s="478"/>
      <c r="F76" s="478"/>
      <c r="G76" s="478"/>
      <c r="H76" s="478"/>
      <c r="I76" s="478"/>
      <c r="J76" s="478"/>
      <c r="K76" s="478"/>
      <c r="L76" s="478"/>
      <c r="M76" s="478"/>
      <c r="N76" s="478"/>
      <c r="O76" s="478"/>
      <c r="P76" s="478"/>
      <c r="Q76" s="478"/>
      <c r="R76" s="478"/>
      <c r="S76" s="478"/>
      <c r="T76" s="478"/>
      <c r="U76" s="478"/>
      <c r="V76" s="478"/>
      <c r="W76" s="478"/>
      <c r="X76" s="478"/>
      <c r="Y76" s="478"/>
      <c r="Z76" s="478"/>
      <c r="AA76" s="478"/>
      <c r="AB76" s="478"/>
      <c r="AC76" s="478"/>
      <c r="AD76" s="479"/>
    </row>
    <row r="77" ht="18" customHeight="1"/>
  </sheetData>
  <mergeCells>
    <mergeCell ref="A1:AD2"/>
    <mergeCell ref="A3:J3"/>
    <mergeCell ref="A4:J6"/>
    <mergeCell ref="K3:P3"/>
    <mergeCell ref="K4:P6"/>
    <mergeCell ref="Q3:V3"/>
    <mergeCell ref="Q4:V6"/>
    <mergeCell ref="W3:AD3"/>
    <mergeCell ref="W4:AD6"/>
    <mergeCell ref="A8:L8"/>
    <mergeCell ref="A9:L36"/>
    <mergeCell ref="N8:AD8"/>
    <mergeCell ref="N9:AD36"/>
    <mergeCell ref="A38:L38"/>
    <mergeCell ref="A39:L55"/>
    <mergeCell ref="N38:AD38"/>
    <mergeCell ref="N39:AD55"/>
    <mergeCell ref="A57:AD57"/>
    <mergeCell ref="A58:AD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RowHeight="15"/>
  <cols>
    <col min="1" max="1" width="3.700000047683716" hidden="0" customWidth="1"/>
    <col min="2" max="2" width="3.700000047683716" hidden="0" customWidth="1"/>
    <col min="3" max="3" width="3.700000047683716" hidden="0" customWidth="1"/>
    <col min="4" max="4" width="3.700000047683716" hidden="0" customWidth="1"/>
    <col min="5" max="5" width="3.700000047683716" hidden="0" customWidth="1"/>
    <col min="6" max="6" width="3.700000047683716" hidden="0" customWidth="1"/>
    <col min="7" max="7" width="3.700000047683716" hidden="0" customWidth="1"/>
    <col min="8" max="8" width="3.700000047683716" hidden="0" customWidth="1"/>
    <col min="9" max="9" width="3.700000047683716" hidden="0" customWidth="1"/>
    <col min="10" max="10" width="3.700000047683716" hidden="0" customWidth="1"/>
    <col min="11" max="11" width="3.700000047683716" hidden="0" customWidth="1"/>
    <col min="12" max="12" width="3.700000047683716" hidden="0" customWidth="1"/>
    <col min="13" max="13" width="3.700000047683716" hidden="0" customWidth="1"/>
    <col min="14" max="14" width="3.700000047683716" hidden="0" customWidth="1"/>
    <col min="15" max="15" width="3.700000047683716" hidden="0" customWidth="1"/>
    <col min="16" max="16" width="3.700000047683716" hidden="0" customWidth="1"/>
    <col min="17" max="17" width="3.700000047683716" hidden="0" customWidth="1"/>
    <col min="18" max="18" width="3.700000047683716" hidden="0" customWidth="1"/>
    <col min="19" max="19" width="3.700000047683716" hidden="0" customWidth="1"/>
    <col min="20" max="20" width="3.700000047683716" hidden="0" customWidth="1"/>
    <col min="21" max="21" width="3.700000047683716" hidden="0" customWidth="1"/>
    <col min="22" max="22" width="3.700000047683716" hidden="0" customWidth="1"/>
    <col min="23" max="23" width="3.700000047683716" hidden="0" customWidth="1"/>
    <col min="24" max="24" width="3.700000047683716" hidden="0" customWidth="1"/>
    <col min="25" max="25" width="3.700000047683716" hidden="0" customWidth="1"/>
    <col min="26" max="26" width="3.700000047683716" hidden="0" customWidth="1"/>
    <col min="27" max="27" width="3.700000047683716" hidden="0" customWidth="1"/>
    <col min="28" max="28" width="3.700000047683716" hidden="0" customWidth="1"/>
    <col min="29" max="29" width="3.700000047683716" hidden="0" customWidth="1"/>
    <col min="30" max="30" width="3.700000047683716" hidden="0" customWidth="1"/>
    <col min="31" max="31" width="3.700000047683716" hidden="0" customWidth="1"/>
    <col min="32" max="32" width="3.700000047683716" hidden="0" customWidth="1"/>
    <col min="33" max="33" width="3.700000047683716" hidden="0" customWidth="1"/>
    <col min="34" max="34" width="3.700000047683716" hidden="0" customWidth="1"/>
    <col min="35" max="35" width="3.700000047683716" hidden="0" customWidth="1"/>
    <col min="36" max="36" width="3.700000047683716" hidden="0" customWidth="1"/>
  </cols>
  <sheetData>
    <row r="1" ht="18" customHeight="1">
      <c r="A1" s="998" t="str">
        <v>第五版 2014 法术卡</v>
      </c>
      <c r="B1" s="998"/>
      <c r="C1" s="998"/>
      <c r="D1" s="998"/>
      <c r="E1" s="998"/>
      <c r="F1" s="998"/>
      <c r="G1" s="998"/>
      <c r="H1" s="998"/>
      <c r="I1" s="998"/>
      <c r="J1" s="998"/>
      <c r="K1" s="998"/>
      <c r="L1" s="998"/>
      <c r="M1" s="998"/>
      <c r="N1" s="998"/>
      <c r="O1" s="998"/>
      <c r="P1" s="998"/>
      <c r="Q1" s="998"/>
      <c r="R1" s="998"/>
      <c r="S1" s="998"/>
      <c r="T1" s="998"/>
      <c r="U1" s="998"/>
      <c r="V1" s="998"/>
      <c r="W1" s="998"/>
      <c r="X1" s="998"/>
      <c r="Y1" s="998"/>
      <c r="Z1" s="998"/>
      <c r="AA1" s="998"/>
      <c r="AB1" s="998"/>
      <c r="AC1" s="998"/>
      <c r="AD1" s="998"/>
      <c r="AE1" s="998"/>
      <c r="AF1" s="998"/>
      <c r="AG1" s="998"/>
      <c r="AH1" s="998"/>
      <c r="AI1" s="998"/>
      <c r="AJ1" s="998"/>
    </row>
    <row r="2" ht="18" customHeight="1">
      <c r="A2" s="998"/>
      <c r="B2" s="998"/>
      <c r="C2" s="998"/>
      <c r="D2" s="998"/>
      <c r="E2" s="998"/>
      <c r="F2" s="998"/>
      <c r="G2" s="998"/>
      <c r="H2" s="998"/>
      <c r="I2" s="998"/>
      <c r="J2" s="998"/>
      <c r="K2" s="998"/>
      <c r="L2" s="998"/>
      <c r="M2" s="998"/>
      <c r="N2" s="998"/>
      <c r="O2" s="998"/>
      <c r="P2" s="998"/>
      <c r="Q2" s="998"/>
      <c r="R2" s="998"/>
      <c r="S2" s="998"/>
      <c r="T2" s="998"/>
      <c r="U2" s="998"/>
      <c r="V2" s="998"/>
      <c r="W2" s="998"/>
      <c r="X2" s="998"/>
      <c r="Y2" s="998"/>
      <c r="Z2" s="998"/>
      <c r="AA2" s="998"/>
      <c r="AB2" s="998"/>
      <c r="AC2" s="998"/>
      <c r="AD2" s="998"/>
      <c r="AE2" s="998"/>
      <c r="AF2" s="998"/>
      <c r="AG2" s="998"/>
      <c r="AH2" s="998"/>
      <c r="AI2" s="998"/>
      <c r="AJ2" s="998"/>
    </row>
    <row r="3" ht="18" customHeight="1">
      <c r="A3" s="22" t="str">
        <v>角色名</v>
      </c>
      <c r="B3" s="23"/>
      <c r="C3" s="23"/>
      <c r="D3" s="23"/>
      <c r="E3" s="23"/>
      <c r="F3" s="23"/>
      <c r="G3" s="23"/>
      <c r="H3" s="24"/>
      <c r="I3" s="22" t="str">
        <v>施法职业</v>
      </c>
      <c r="J3" s="23"/>
      <c r="K3" s="23"/>
      <c r="L3" s="23"/>
      <c r="M3" s="23"/>
      <c r="N3" s="23"/>
      <c r="O3" s="23"/>
      <c r="P3" s="24"/>
      <c r="Q3" s="22" t="str">
        <v>施法关键属性</v>
      </c>
      <c r="R3" s="23"/>
      <c r="S3" s="23"/>
      <c r="T3" s="23"/>
      <c r="U3" s="23"/>
      <c r="V3" s="24"/>
      <c r="W3" s="22" t="str">
        <v>法术豁免 DC</v>
      </c>
      <c r="X3" s="23"/>
      <c r="Y3" s="23"/>
      <c r="Z3" s="23"/>
      <c r="AA3" s="23"/>
      <c r="AB3" s="23"/>
      <c r="AC3" s="24"/>
      <c r="AD3" s="22" t="str">
        <v>法术攻击加值</v>
      </c>
      <c r="AE3" s="23"/>
      <c r="AF3" s="23"/>
      <c r="AG3" s="23"/>
      <c r="AH3" s="23"/>
      <c r="AI3" s="23"/>
      <c r="AJ3" s="24"/>
    </row>
    <row r="4" ht="18" customHeight="1">
      <c r="A4" s="1171" t="str">
        <f>IF('角色卡'!A4="","",'角色卡'!A4)</f>
      </c>
      <c r="B4" s="1172"/>
      <c r="C4" s="1172"/>
      <c r="D4" s="1172"/>
      <c r="E4" s="1172"/>
      <c r="F4" s="1172"/>
      <c r="G4" s="1172"/>
      <c r="H4" s="1173"/>
      <c r="I4" s="137" t="str"/>
      <c r="J4" s="138"/>
      <c r="K4" s="138"/>
      <c r="L4" s="138"/>
      <c r="M4" s="138"/>
      <c r="N4" s="138"/>
      <c r="O4" s="138"/>
      <c r="P4" s="139"/>
      <c r="Q4" s="137" t="str"/>
      <c r="R4" s="138"/>
      <c r="S4" s="138"/>
      <c r="T4" s="138"/>
      <c r="U4" s="138"/>
      <c r="V4" s="139"/>
      <c r="W4" s="1099" t="str">
        <f>IF(Q4="","",8+'角色卡'!R12+IF(Q4="","",IF(Q4="力量",'角色卡'!E12,IF(Q4="敏捷",'角色卡'!E19,IF(Q4="体质",'角色卡'!E26,IF(Q4="智力",'角色卡'!E33,IF(Q4="感知",'角色卡'!E40,IF(Q4="魅力",'角色卡'!E47,""))))))))</f>
      </c>
      <c r="X4" s="1100"/>
      <c r="Y4" s="1100"/>
      <c r="Z4" s="1100"/>
      <c r="AA4" s="1100"/>
      <c r="AB4" s="1100"/>
      <c r="AC4" s="1101"/>
      <c r="AD4" s="1099" t="str">
        <f>IF(Q4="","",'角色卡'!R12+IF(Q4="","",IF(Q4="力量",'角色卡'!E12,IF(Q4="敏捷",'角色卡'!E19,IF(Q4="体质",'角色卡'!E26,IF(Q4="智力",'角色卡'!E33,IF(Q4="感知",'角色卡'!E40,IF(Q4="魅力",'角色卡'!E47,""))))))))</f>
      </c>
      <c r="AE4" s="1100"/>
      <c r="AF4" s="1100"/>
      <c r="AG4" s="1100"/>
      <c r="AH4" s="1100"/>
      <c r="AI4" s="1100"/>
      <c r="AJ4" s="1101"/>
    </row>
    <row r="5" ht="18" customHeight="1">
      <c r="A5" s="1174"/>
      <c r="B5" s="1175"/>
      <c r="C5" s="1175"/>
      <c r="D5" s="1175"/>
      <c r="E5" s="1175"/>
      <c r="F5" s="1175"/>
      <c r="G5" s="1175"/>
      <c r="H5" s="1176"/>
      <c r="I5" s="140"/>
      <c r="J5" s="141"/>
      <c r="K5" s="141"/>
      <c r="L5" s="141"/>
      <c r="M5" s="141"/>
      <c r="N5" s="141"/>
      <c r="O5" s="141"/>
      <c r="P5" s="142"/>
      <c r="Q5" s="140"/>
      <c r="R5" s="141"/>
      <c r="S5" s="141"/>
      <c r="T5" s="141"/>
      <c r="U5" s="141"/>
      <c r="V5" s="142"/>
      <c r="W5" s="1102"/>
      <c r="X5" s="1103"/>
      <c r="Y5" s="1103"/>
      <c r="Z5" s="1103"/>
      <c r="AA5" s="1103"/>
      <c r="AB5" s="1103"/>
      <c r="AC5" s="1104"/>
      <c r="AD5" s="1102"/>
      <c r="AE5" s="1103"/>
      <c r="AF5" s="1103"/>
      <c r="AG5" s="1103"/>
      <c r="AH5" s="1103"/>
      <c r="AI5" s="1103"/>
      <c r="AJ5" s="1104"/>
    </row>
    <row r="6" ht="18" customHeight="1">
      <c r="A6" s="1177"/>
      <c r="B6" s="1178"/>
      <c r="C6" s="1178"/>
      <c r="D6" s="1178"/>
      <c r="E6" s="1178"/>
      <c r="F6" s="1178"/>
      <c r="G6" s="1178"/>
      <c r="H6" s="1179"/>
      <c r="I6" s="143"/>
      <c r="J6" s="144"/>
      <c r="K6" s="144"/>
      <c r="L6" s="144"/>
      <c r="M6" s="144"/>
      <c r="N6" s="144"/>
      <c r="O6" s="144"/>
      <c r="P6" s="145"/>
      <c r="Q6" s="143"/>
      <c r="R6" s="144"/>
      <c r="S6" s="144"/>
      <c r="T6" s="144"/>
      <c r="U6" s="144"/>
      <c r="V6" s="145"/>
      <c r="W6" s="1105"/>
      <c r="X6" s="1106"/>
      <c r="Y6" s="1106"/>
      <c r="Z6" s="1106"/>
      <c r="AA6" s="1106"/>
      <c r="AB6" s="1106"/>
      <c r="AC6" s="1107"/>
      <c r="AD6" s="1105"/>
      <c r="AE6" s="1106"/>
      <c r="AF6" s="1106"/>
      <c r="AG6" s="1106"/>
      <c r="AH6" s="1106"/>
      <c r="AI6" s="1106"/>
      <c r="AJ6" s="1107"/>
    </row>
    <row r="7" ht="18" customHeight="1"/>
    <row r="8" ht="18" customHeight="1">
      <c r="A8" s="213" t="str">
        <v>戏法</v>
      </c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5"/>
      <c r="T8" s="213" t="str">
        <v>5 环法术</v>
      </c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5"/>
    </row>
    <row r="9" ht="18" customHeight="1">
      <c r="A9" s="1223" t="str"/>
      <c r="B9" s="1224"/>
      <c r="C9" s="1239" t="str"/>
      <c r="D9" s="1240"/>
      <c r="E9" s="1240"/>
      <c r="F9" s="1240"/>
      <c r="G9" s="1240"/>
      <c r="H9" s="1240"/>
      <c r="I9" s="1240"/>
      <c r="J9" s="1240"/>
      <c r="K9" s="1240"/>
      <c r="L9" s="1240"/>
      <c r="M9" s="1240"/>
      <c r="N9" s="1240"/>
      <c r="O9" s="1240"/>
      <c r="P9" s="1240"/>
      <c r="Q9" s="1240"/>
      <c r="R9" s="1241"/>
      <c r="T9" s="22" t="str">
        <v>法术位总数</v>
      </c>
      <c r="U9" s="23"/>
      <c r="V9" s="23"/>
      <c r="W9" s="23"/>
      <c r="X9" s="23"/>
      <c r="Y9" s="24"/>
      <c r="Z9" s="983" t="str"/>
      <c r="AA9" s="984"/>
      <c r="AB9" s="985"/>
      <c r="AC9" s="22" t="str">
        <v>已消耗</v>
      </c>
      <c r="AD9" s="23"/>
      <c r="AE9" s="23"/>
      <c r="AF9" s="23"/>
      <c r="AG9" s="23"/>
      <c r="AH9" s="24"/>
      <c r="AI9" s="983" t="str"/>
      <c r="AJ9" s="985"/>
    </row>
    <row r="10" ht="18" customHeight="1">
      <c r="A10" s="1223" t="str"/>
      <c r="B10" s="1224"/>
      <c r="C10" s="1239" t="str"/>
      <c r="D10" s="1240"/>
      <c r="E10" s="1240"/>
      <c r="F10" s="1240"/>
      <c r="G10" s="1240"/>
      <c r="H10" s="1240"/>
      <c r="I10" s="1240"/>
      <c r="J10" s="1240"/>
      <c r="K10" s="1240"/>
      <c r="L10" s="1240"/>
      <c r="M10" s="1240"/>
      <c r="N10" s="1240"/>
      <c r="O10" s="1240"/>
      <c r="P10" s="1240"/>
      <c r="Q10" s="1240"/>
      <c r="R10" s="1241"/>
      <c r="T10" s="1223" t="str"/>
      <c r="U10" s="1224"/>
      <c r="V10" s="1239" t="str"/>
      <c r="W10" s="1240"/>
      <c r="X10" s="1240"/>
      <c r="Y10" s="1240"/>
      <c r="Z10" s="1240"/>
      <c r="AA10" s="1240"/>
      <c r="AB10" s="1240"/>
      <c r="AC10" s="1240"/>
      <c r="AD10" s="1240"/>
      <c r="AE10" s="1240"/>
      <c r="AF10" s="1240"/>
      <c r="AG10" s="1240"/>
      <c r="AH10" s="1240"/>
      <c r="AI10" s="1240"/>
      <c r="AJ10" s="1241"/>
    </row>
    <row r="11" ht="18" customHeight="1">
      <c r="A11" s="1223" t="str"/>
      <c r="B11" s="1224"/>
      <c r="C11" s="1239" t="str"/>
      <c r="D11" s="1240"/>
      <c r="E11" s="1240"/>
      <c r="F11" s="1240"/>
      <c r="G11" s="1240"/>
      <c r="H11" s="1240"/>
      <c r="I11" s="1240"/>
      <c r="J11" s="1240"/>
      <c r="K11" s="1240"/>
      <c r="L11" s="1240"/>
      <c r="M11" s="1240"/>
      <c r="N11" s="1240"/>
      <c r="O11" s="1240"/>
      <c r="P11" s="1240"/>
      <c r="Q11" s="1240"/>
      <c r="R11" s="1241"/>
      <c r="T11" s="1223" t="str"/>
      <c r="U11" s="1224"/>
      <c r="V11" s="1239" t="str"/>
      <c r="W11" s="1240"/>
      <c r="X11" s="1240"/>
      <c r="Y11" s="1240"/>
      <c r="Z11" s="1240"/>
      <c r="AA11" s="1240"/>
      <c r="AB11" s="1240"/>
      <c r="AC11" s="1240"/>
      <c r="AD11" s="1240"/>
      <c r="AE11" s="1240"/>
      <c r="AF11" s="1240"/>
      <c r="AG11" s="1240"/>
      <c r="AH11" s="1240"/>
      <c r="AI11" s="1240"/>
      <c r="AJ11" s="1241"/>
    </row>
    <row r="12" ht="18" customHeight="1">
      <c r="A12" s="1223" t="str"/>
      <c r="B12" s="1224"/>
      <c r="C12" s="1239" t="str"/>
      <c r="D12" s="1240"/>
      <c r="E12" s="1240"/>
      <c r="F12" s="1240"/>
      <c r="G12" s="1240"/>
      <c r="H12" s="1240"/>
      <c r="I12" s="1240"/>
      <c r="J12" s="1240"/>
      <c r="K12" s="1240"/>
      <c r="L12" s="1240"/>
      <c r="M12" s="1240"/>
      <c r="N12" s="1240"/>
      <c r="O12" s="1240"/>
      <c r="P12" s="1240"/>
      <c r="Q12" s="1240"/>
      <c r="R12" s="1241"/>
      <c r="T12" s="1223" t="str"/>
      <c r="U12" s="1224"/>
      <c r="V12" s="1239" t="str"/>
      <c r="W12" s="1240"/>
      <c r="X12" s="1240"/>
      <c r="Y12" s="1240"/>
      <c r="Z12" s="1240"/>
      <c r="AA12" s="1240"/>
      <c r="AB12" s="1240"/>
      <c r="AC12" s="1240"/>
      <c r="AD12" s="1240"/>
      <c r="AE12" s="1240"/>
      <c r="AF12" s="1240"/>
      <c r="AG12" s="1240"/>
      <c r="AH12" s="1240"/>
      <c r="AI12" s="1240"/>
      <c r="AJ12" s="1241"/>
    </row>
    <row r="13" ht="18" customHeight="1">
      <c r="A13" s="1223" t="str"/>
      <c r="B13" s="1224"/>
      <c r="C13" s="1239" t="str"/>
      <c r="D13" s="1240"/>
      <c r="E13" s="1240"/>
      <c r="F13" s="1240"/>
      <c r="G13" s="1240"/>
      <c r="H13" s="1240"/>
      <c r="I13" s="1240"/>
      <c r="J13" s="1240"/>
      <c r="K13" s="1240"/>
      <c r="L13" s="1240"/>
      <c r="M13" s="1240"/>
      <c r="N13" s="1240"/>
      <c r="O13" s="1240"/>
      <c r="P13" s="1240"/>
      <c r="Q13" s="1240"/>
      <c r="R13" s="1241"/>
      <c r="T13" s="1223" t="str"/>
      <c r="U13" s="1224"/>
      <c r="V13" s="1239" t="str"/>
      <c r="W13" s="1240"/>
      <c r="X13" s="1240"/>
      <c r="Y13" s="1240"/>
      <c r="Z13" s="1240"/>
      <c r="AA13" s="1240"/>
      <c r="AB13" s="1240"/>
      <c r="AC13" s="1240"/>
      <c r="AD13" s="1240"/>
      <c r="AE13" s="1240"/>
      <c r="AF13" s="1240"/>
      <c r="AG13" s="1240"/>
      <c r="AH13" s="1240"/>
      <c r="AI13" s="1240"/>
      <c r="AJ13" s="1241"/>
    </row>
    <row r="14" ht="18" customHeight="1">
      <c r="A14" s="1223" t="str"/>
      <c r="B14" s="1224"/>
      <c r="C14" s="1239" t="str"/>
      <c r="D14" s="1240"/>
      <c r="E14" s="1240"/>
      <c r="F14" s="1240"/>
      <c r="G14" s="1240"/>
      <c r="H14" s="1240"/>
      <c r="I14" s="1240"/>
      <c r="J14" s="1240"/>
      <c r="K14" s="1240"/>
      <c r="L14" s="1240"/>
      <c r="M14" s="1240"/>
      <c r="N14" s="1240"/>
      <c r="O14" s="1240"/>
      <c r="P14" s="1240"/>
      <c r="Q14" s="1240"/>
      <c r="R14" s="1241"/>
      <c r="T14" s="1223" t="str"/>
      <c r="U14" s="1224"/>
      <c r="V14" s="1239" t="str"/>
      <c r="W14" s="1240"/>
      <c r="X14" s="1240"/>
      <c r="Y14" s="1240"/>
      <c r="Z14" s="1240"/>
      <c r="AA14" s="1240"/>
      <c r="AB14" s="1240"/>
      <c r="AC14" s="1240"/>
      <c r="AD14" s="1240"/>
      <c r="AE14" s="1240"/>
      <c r="AF14" s="1240"/>
      <c r="AG14" s="1240"/>
      <c r="AH14" s="1240"/>
      <c r="AI14" s="1240"/>
      <c r="AJ14" s="1241"/>
    </row>
    <row r="15" ht="18" customHeight="1">
      <c r="A15" s="1223" t="str"/>
      <c r="B15" s="1224"/>
      <c r="C15" s="1239" t="str"/>
      <c r="D15" s="1240"/>
      <c r="E15" s="1240"/>
      <c r="F15" s="1240"/>
      <c r="G15" s="1240"/>
      <c r="H15" s="1240"/>
      <c r="I15" s="1240"/>
      <c r="J15" s="1240"/>
      <c r="K15" s="1240"/>
      <c r="L15" s="1240"/>
      <c r="M15" s="1240"/>
      <c r="N15" s="1240"/>
      <c r="O15" s="1240"/>
      <c r="P15" s="1240"/>
      <c r="Q15" s="1240"/>
      <c r="R15" s="1241"/>
      <c r="T15" s="1223" t="str"/>
      <c r="U15" s="1224"/>
      <c r="V15" s="1239" t="str"/>
      <c r="W15" s="1240"/>
      <c r="X15" s="1240"/>
      <c r="Y15" s="1240"/>
      <c r="Z15" s="1240"/>
      <c r="AA15" s="1240"/>
      <c r="AB15" s="1240"/>
      <c r="AC15" s="1240"/>
      <c r="AD15" s="1240"/>
      <c r="AE15" s="1240"/>
      <c r="AF15" s="1240"/>
      <c r="AG15" s="1240"/>
      <c r="AH15" s="1240"/>
      <c r="AI15" s="1240"/>
      <c r="AJ15" s="1241"/>
    </row>
    <row r="16" ht="18" customHeight="1">
      <c r="A16" s="1223" t="str"/>
      <c r="B16" s="1224"/>
      <c r="C16" s="1239" t="str"/>
      <c r="D16" s="1240"/>
      <c r="E16" s="1240"/>
      <c r="F16" s="1240"/>
      <c r="G16" s="1240"/>
      <c r="H16" s="1240"/>
      <c r="I16" s="1240"/>
      <c r="J16" s="1240"/>
      <c r="K16" s="1240"/>
      <c r="L16" s="1240"/>
      <c r="M16" s="1240"/>
      <c r="N16" s="1240"/>
      <c r="O16" s="1240"/>
      <c r="P16" s="1240"/>
      <c r="Q16" s="1240"/>
      <c r="R16" s="1241"/>
      <c r="T16" s="1223" t="str"/>
      <c r="U16" s="1224"/>
      <c r="V16" s="1239" t="str"/>
      <c r="W16" s="1240"/>
      <c r="X16" s="1240"/>
      <c r="Y16" s="1240"/>
      <c r="Z16" s="1240"/>
      <c r="AA16" s="1240"/>
      <c r="AB16" s="1240"/>
      <c r="AC16" s="1240"/>
      <c r="AD16" s="1240"/>
      <c r="AE16" s="1240"/>
      <c r="AF16" s="1240"/>
      <c r="AG16" s="1240"/>
      <c r="AH16" s="1240"/>
      <c r="AI16" s="1240"/>
      <c r="AJ16" s="1241"/>
    </row>
    <row r="17" ht="18" customHeight="1">
      <c r="T17" s="1223" t="str"/>
      <c r="U17" s="1224"/>
      <c r="V17" s="1239" t="str"/>
      <c r="W17" s="1240"/>
      <c r="X17" s="1240"/>
      <c r="Y17" s="1240"/>
      <c r="Z17" s="1240"/>
      <c r="AA17" s="1240"/>
      <c r="AB17" s="1240"/>
      <c r="AC17" s="1240"/>
      <c r="AD17" s="1240"/>
      <c r="AE17" s="1240"/>
      <c r="AF17" s="1240"/>
      <c r="AG17" s="1240"/>
      <c r="AH17" s="1240"/>
      <c r="AI17" s="1240"/>
      <c r="AJ17" s="1241"/>
    </row>
    <row r="18" ht="18" customHeight="1">
      <c r="T18" s="1223" t="str"/>
      <c r="U18" s="1224"/>
      <c r="V18" s="1239" t="str"/>
      <c r="W18" s="1240"/>
      <c r="X18" s="1240"/>
      <c r="Y18" s="1240"/>
      <c r="Z18" s="1240"/>
      <c r="AA18" s="1240"/>
      <c r="AB18" s="1240"/>
      <c r="AC18" s="1240"/>
      <c r="AD18" s="1240"/>
      <c r="AE18" s="1240"/>
      <c r="AF18" s="1240"/>
      <c r="AG18" s="1240"/>
      <c r="AH18" s="1240"/>
      <c r="AI18" s="1240"/>
      <c r="AJ18" s="1241"/>
    </row>
    <row r="19" ht="18" customHeight="1">
      <c r="T19" s="1223" t="str"/>
      <c r="U19" s="1224"/>
      <c r="V19" s="1239" t="str"/>
      <c r="W19" s="1240"/>
      <c r="X19" s="1240"/>
      <c r="Y19" s="1240"/>
      <c r="Z19" s="1240"/>
      <c r="AA19" s="1240"/>
      <c r="AB19" s="1240"/>
      <c r="AC19" s="1240"/>
      <c r="AD19" s="1240"/>
      <c r="AE19" s="1240"/>
      <c r="AF19" s="1240"/>
      <c r="AG19" s="1240"/>
      <c r="AH19" s="1240"/>
      <c r="AI19" s="1240"/>
      <c r="AJ19" s="1241"/>
    </row>
    <row r="20" ht="18" customHeight="1"/>
    <row r="21" ht="18" customHeight="1"/>
    <row r="22" ht="18" customHeight="1"/>
    <row r="23" ht="18" customHeight="1"/>
    <row r="24" ht="18" customHeight="1">
      <c r="A24" s="213" t="str">
        <v>1 环法术</v>
      </c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5"/>
    </row>
    <row r="25" ht="18" customHeight="1">
      <c r="A25" s="22" t="str">
        <v>法术位总数</v>
      </c>
      <c r="B25" s="23"/>
      <c r="C25" s="23"/>
      <c r="D25" s="23"/>
      <c r="E25" s="23"/>
      <c r="F25" s="24"/>
      <c r="G25" s="983" t="str"/>
      <c r="H25" s="984"/>
      <c r="I25" s="985"/>
      <c r="J25" s="22" t="str">
        <v>已消耗</v>
      </c>
      <c r="K25" s="23"/>
      <c r="L25" s="23"/>
      <c r="M25" s="23"/>
      <c r="N25" s="23"/>
      <c r="O25" s="24"/>
      <c r="P25" s="983" t="str"/>
      <c r="Q25" s="984"/>
      <c r="R25" s="985"/>
    </row>
    <row r="26" ht="18" customHeight="1">
      <c r="A26" s="1223" t="str"/>
      <c r="B26" s="1224"/>
      <c r="C26" s="1239" t="str"/>
      <c r="D26" s="1240"/>
      <c r="E26" s="1240"/>
      <c r="F26" s="1240"/>
      <c r="G26" s="1240"/>
      <c r="H26" s="1240"/>
      <c r="I26" s="1240"/>
      <c r="J26" s="1240"/>
      <c r="K26" s="1240"/>
      <c r="L26" s="1240"/>
      <c r="M26" s="1240"/>
      <c r="N26" s="1240"/>
      <c r="O26" s="1240"/>
      <c r="P26" s="1240"/>
      <c r="Q26" s="1240"/>
      <c r="R26" s="1241"/>
      <c r="T26" s="213" t="str">
        <v>6 环法术</v>
      </c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5"/>
    </row>
    <row r="27" ht="18" customHeight="1">
      <c r="A27" s="1223" t="str"/>
      <c r="B27" s="1224"/>
      <c r="C27" s="1239" t="str"/>
      <c r="D27" s="1240"/>
      <c r="E27" s="1240"/>
      <c r="F27" s="1240"/>
      <c r="G27" s="1240"/>
      <c r="H27" s="1240"/>
      <c r="I27" s="1240"/>
      <c r="J27" s="1240"/>
      <c r="K27" s="1240"/>
      <c r="L27" s="1240"/>
      <c r="M27" s="1240"/>
      <c r="N27" s="1240"/>
      <c r="O27" s="1240"/>
      <c r="P27" s="1240"/>
      <c r="Q27" s="1240"/>
      <c r="R27" s="1241"/>
      <c r="T27" s="22" t="str">
        <v>法术位总数</v>
      </c>
      <c r="U27" s="23"/>
      <c r="V27" s="23"/>
      <c r="W27" s="23"/>
      <c r="X27" s="23"/>
      <c r="Y27" s="24"/>
      <c r="Z27" s="983" t="str"/>
      <c r="AA27" s="984"/>
      <c r="AB27" s="985"/>
      <c r="AC27" s="22" t="str">
        <v>已消耗</v>
      </c>
      <c r="AD27" s="23"/>
      <c r="AE27" s="23"/>
      <c r="AF27" s="23"/>
      <c r="AG27" s="23"/>
      <c r="AH27" s="24"/>
      <c r="AI27" s="983" t="str"/>
      <c r="AJ27" s="985"/>
    </row>
    <row r="28" ht="18" customHeight="1">
      <c r="A28" s="1223" t="str"/>
      <c r="B28" s="1224"/>
      <c r="C28" s="1239" t="str"/>
      <c r="D28" s="1240"/>
      <c r="E28" s="1240"/>
      <c r="F28" s="1240"/>
      <c r="G28" s="1240"/>
      <c r="H28" s="1240"/>
      <c r="I28" s="1240"/>
      <c r="J28" s="1240"/>
      <c r="K28" s="1240"/>
      <c r="L28" s="1240"/>
      <c r="M28" s="1240"/>
      <c r="N28" s="1240"/>
      <c r="O28" s="1240"/>
      <c r="P28" s="1240"/>
      <c r="Q28" s="1240"/>
      <c r="R28" s="1241"/>
      <c r="T28" s="1223" t="str"/>
      <c r="U28" s="1224"/>
      <c r="V28" s="1239" t="str"/>
      <c r="W28" s="1240"/>
      <c r="X28" s="1240"/>
      <c r="Y28" s="1240"/>
      <c r="Z28" s="1240"/>
      <c r="AA28" s="1240"/>
      <c r="AB28" s="1240"/>
      <c r="AC28" s="1240"/>
      <c r="AD28" s="1240"/>
      <c r="AE28" s="1240"/>
      <c r="AF28" s="1240"/>
      <c r="AG28" s="1240"/>
      <c r="AH28" s="1240"/>
      <c r="AI28" s="1240"/>
      <c r="AJ28" s="1241"/>
    </row>
    <row r="29" ht="18" customHeight="1">
      <c r="A29" s="1223" t="str"/>
      <c r="B29" s="1224"/>
      <c r="C29" s="1239" t="str"/>
      <c r="D29" s="1240"/>
      <c r="E29" s="1240"/>
      <c r="F29" s="1240"/>
      <c r="G29" s="1240"/>
      <c r="H29" s="1240"/>
      <c r="I29" s="1240"/>
      <c r="J29" s="1240"/>
      <c r="K29" s="1240"/>
      <c r="L29" s="1240"/>
      <c r="M29" s="1240"/>
      <c r="N29" s="1240"/>
      <c r="O29" s="1240"/>
      <c r="P29" s="1240"/>
      <c r="Q29" s="1240"/>
      <c r="R29" s="1241"/>
      <c r="T29" s="1223" t="str"/>
      <c r="U29" s="1224"/>
      <c r="V29" s="1239" t="str"/>
      <c r="W29" s="1240"/>
      <c r="X29" s="1240"/>
      <c r="Y29" s="1240"/>
      <c r="Z29" s="1240"/>
      <c r="AA29" s="1240"/>
      <c r="AB29" s="1240"/>
      <c r="AC29" s="1240"/>
      <c r="AD29" s="1240"/>
      <c r="AE29" s="1240"/>
      <c r="AF29" s="1240"/>
      <c r="AG29" s="1240"/>
      <c r="AH29" s="1240"/>
      <c r="AI29" s="1240"/>
      <c r="AJ29" s="1241"/>
    </row>
    <row r="30" ht="18" customHeight="1">
      <c r="A30" s="1223" t="str"/>
      <c r="B30" s="1224"/>
      <c r="C30" s="1239" t="str"/>
      <c r="D30" s="1240"/>
      <c r="E30" s="1240"/>
      <c r="F30" s="1240"/>
      <c r="G30" s="1240"/>
      <c r="H30" s="1240"/>
      <c r="I30" s="1240"/>
      <c r="J30" s="1240"/>
      <c r="K30" s="1240"/>
      <c r="L30" s="1240"/>
      <c r="M30" s="1240"/>
      <c r="N30" s="1240"/>
      <c r="O30" s="1240"/>
      <c r="P30" s="1240"/>
      <c r="Q30" s="1240"/>
      <c r="R30" s="1241"/>
      <c r="T30" s="1223" t="str"/>
      <c r="U30" s="1224"/>
      <c r="V30" s="1239" t="str"/>
      <c r="W30" s="1240"/>
      <c r="X30" s="1240"/>
      <c r="Y30" s="1240"/>
      <c r="Z30" s="1240"/>
      <c r="AA30" s="1240"/>
      <c r="AB30" s="1240"/>
      <c r="AC30" s="1240"/>
      <c r="AD30" s="1240"/>
      <c r="AE30" s="1240"/>
      <c r="AF30" s="1240"/>
      <c r="AG30" s="1240"/>
      <c r="AH30" s="1240"/>
      <c r="AI30" s="1240"/>
      <c r="AJ30" s="1241"/>
    </row>
    <row r="31" ht="18" customHeight="1">
      <c r="A31" s="1223" t="str"/>
      <c r="B31" s="1224"/>
      <c r="C31" s="1239" t="str"/>
      <c r="D31" s="1240"/>
      <c r="E31" s="1240"/>
      <c r="F31" s="1240"/>
      <c r="G31" s="1240"/>
      <c r="H31" s="1240"/>
      <c r="I31" s="1240"/>
      <c r="J31" s="1240"/>
      <c r="K31" s="1240"/>
      <c r="L31" s="1240"/>
      <c r="M31" s="1240"/>
      <c r="N31" s="1240"/>
      <c r="O31" s="1240"/>
      <c r="P31" s="1240"/>
      <c r="Q31" s="1240"/>
      <c r="R31" s="1241"/>
      <c r="T31" s="1223" t="str"/>
      <c r="U31" s="1224"/>
      <c r="V31" s="1239" t="str"/>
      <c r="W31" s="1240"/>
      <c r="X31" s="1240"/>
      <c r="Y31" s="1240"/>
      <c r="Z31" s="1240"/>
      <c r="AA31" s="1240"/>
      <c r="AB31" s="1240"/>
      <c r="AC31" s="1240"/>
      <c r="AD31" s="1240"/>
      <c r="AE31" s="1240"/>
      <c r="AF31" s="1240"/>
      <c r="AG31" s="1240"/>
      <c r="AH31" s="1240"/>
      <c r="AI31" s="1240"/>
      <c r="AJ31" s="1241"/>
    </row>
    <row r="32" ht="18" customHeight="1">
      <c r="A32" s="1223" t="str"/>
      <c r="B32" s="1224"/>
      <c r="C32" s="1239" t="str"/>
      <c r="D32" s="1240"/>
      <c r="E32" s="1240"/>
      <c r="F32" s="1240"/>
      <c r="G32" s="1240"/>
      <c r="H32" s="1240"/>
      <c r="I32" s="1240"/>
      <c r="J32" s="1240"/>
      <c r="K32" s="1240"/>
      <c r="L32" s="1240"/>
      <c r="M32" s="1240"/>
      <c r="N32" s="1240"/>
      <c r="O32" s="1240"/>
      <c r="P32" s="1240"/>
      <c r="Q32" s="1240"/>
      <c r="R32" s="1241"/>
      <c r="T32" s="1223" t="str"/>
      <c r="U32" s="1224"/>
      <c r="V32" s="1239" t="str"/>
      <c r="W32" s="1240"/>
      <c r="X32" s="1240"/>
      <c r="Y32" s="1240"/>
      <c r="Z32" s="1240"/>
      <c r="AA32" s="1240"/>
      <c r="AB32" s="1240"/>
      <c r="AC32" s="1240"/>
      <c r="AD32" s="1240"/>
      <c r="AE32" s="1240"/>
      <c r="AF32" s="1240"/>
      <c r="AG32" s="1240"/>
      <c r="AH32" s="1240"/>
      <c r="AI32" s="1240"/>
      <c r="AJ32" s="1241"/>
    </row>
    <row r="33" ht="18" customHeight="1">
      <c r="A33" s="1223" t="str"/>
      <c r="B33" s="1224"/>
      <c r="C33" s="1239" t="str"/>
      <c r="D33" s="1240"/>
      <c r="E33" s="1240"/>
      <c r="F33" s="1240"/>
      <c r="G33" s="1240"/>
      <c r="H33" s="1240"/>
      <c r="I33" s="1240"/>
      <c r="J33" s="1240"/>
      <c r="K33" s="1240"/>
      <c r="L33" s="1240"/>
      <c r="M33" s="1240"/>
      <c r="N33" s="1240"/>
      <c r="O33" s="1240"/>
      <c r="P33" s="1240"/>
      <c r="Q33" s="1240"/>
      <c r="R33" s="1241"/>
      <c r="T33" s="1223" t="str"/>
      <c r="U33" s="1224"/>
      <c r="V33" s="1239" t="str"/>
      <c r="W33" s="1240"/>
      <c r="X33" s="1240"/>
      <c r="Y33" s="1240"/>
      <c r="Z33" s="1240"/>
      <c r="AA33" s="1240"/>
      <c r="AB33" s="1240"/>
      <c r="AC33" s="1240"/>
      <c r="AD33" s="1240"/>
      <c r="AE33" s="1240"/>
      <c r="AF33" s="1240"/>
      <c r="AG33" s="1240"/>
      <c r="AH33" s="1240"/>
      <c r="AI33" s="1240"/>
      <c r="AJ33" s="1241"/>
    </row>
    <row r="34" ht="18" customHeight="1">
      <c r="A34" s="1223" t="str"/>
      <c r="B34" s="1224"/>
      <c r="C34" s="1239" t="str"/>
      <c r="D34" s="1240"/>
      <c r="E34" s="1240"/>
      <c r="F34" s="1240"/>
      <c r="G34" s="1240"/>
      <c r="H34" s="1240"/>
      <c r="I34" s="1240"/>
      <c r="J34" s="1240"/>
      <c r="K34" s="1240"/>
      <c r="L34" s="1240"/>
      <c r="M34" s="1240"/>
      <c r="N34" s="1240"/>
      <c r="O34" s="1240"/>
      <c r="P34" s="1240"/>
      <c r="Q34" s="1240"/>
      <c r="R34" s="1241"/>
      <c r="T34" s="1223" t="str"/>
      <c r="U34" s="1224"/>
      <c r="V34" s="1239" t="str"/>
      <c r="W34" s="1240"/>
      <c r="X34" s="1240"/>
      <c r="Y34" s="1240"/>
      <c r="Z34" s="1240"/>
      <c r="AA34" s="1240"/>
      <c r="AB34" s="1240"/>
      <c r="AC34" s="1240"/>
      <c r="AD34" s="1240"/>
      <c r="AE34" s="1240"/>
      <c r="AF34" s="1240"/>
      <c r="AG34" s="1240"/>
      <c r="AH34" s="1240"/>
      <c r="AI34" s="1240"/>
      <c r="AJ34" s="1241"/>
    </row>
    <row r="35" ht="18" customHeight="1">
      <c r="A35" s="1223" t="str"/>
      <c r="B35" s="1224"/>
      <c r="C35" s="1239" t="str"/>
      <c r="D35" s="1240"/>
      <c r="E35" s="1240"/>
      <c r="F35" s="1240"/>
      <c r="G35" s="1240"/>
      <c r="H35" s="1240"/>
      <c r="I35" s="1240"/>
      <c r="J35" s="1240"/>
      <c r="K35" s="1240"/>
      <c r="L35" s="1240"/>
      <c r="M35" s="1240"/>
      <c r="N35" s="1240"/>
      <c r="O35" s="1240"/>
      <c r="P35" s="1240"/>
      <c r="Q35" s="1240"/>
      <c r="R35" s="1241"/>
      <c r="T35" s="1223" t="str"/>
      <c r="U35" s="1224"/>
      <c r="V35" s="1239" t="str"/>
      <c r="W35" s="1240"/>
      <c r="X35" s="1240"/>
      <c r="Y35" s="1240"/>
      <c r="Z35" s="1240"/>
      <c r="AA35" s="1240"/>
      <c r="AB35" s="1240"/>
      <c r="AC35" s="1240"/>
      <c r="AD35" s="1240"/>
      <c r="AE35" s="1240"/>
      <c r="AF35" s="1240"/>
      <c r="AG35" s="1240"/>
      <c r="AH35" s="1240"/>
      <c r="AI35" s="1240"/>
      <c r="AJ35" s="1241"/>
    </row>
    <row r="36" ht="18" customHeight="1">
      <c r="T36" s="1223" t="str"/>
      <c r="U36" s="1224"/>
      <c r="V36" s="1239" t="str"/>
      <c r="W36" s="1240"/>
      <c r="X36" s="1240"/>
      <c r="Y36" s="1240"/>
      <c r="Z36" s="1240"/>
      <c r="AA36" s="1240"/>
      <c r="AB36" s="1240"/>
      <c r="AC36" s="1240"/>
      <c r="AD36" s="1240"/>
      <c r="AE36" s="1240"/>
      <c r="AF36" s="1240"/>
      <c r="AG36" s="1240"/>
      <c r="AH36" s="1240"/>
      <c r="AI36" s="1240"/>
      <c r="AJ36" s="1241"/>
    </row>
    <row r="37" ht="18" customHeight="1">
      <c r="T37" s="1223" t="str"/>
      <c r="U37" s="1224"/>
      <c r="V37" s="1239" t="str"/>
      <c r="W37" s="1240"/>
      <c r="X37" s="1240"/>
      <c r="Y37" s="1240"/>
      <c r="Z37" s="1240"/>
      <c r="AA37" s="1240"/>
      <c r="AB37" s="1240"/>
      <c r="AC37" s="1240"/>
      <c r="AD37" s="1240"/>
      <c r="AE37" s="1240"/>
      <c r="AF37" s="1240"/>
      <c r="AG37" s="1240"/>
      <c r="AH37" s="1240"/>
      <c r="AI37" s="1240"/>
      <c r="AJ37" s="1241"/>
    </row>
    <row r="38" ht="18" customHeight="1"/>
    <row r="39" ht="18" customHeight="1"/>
    <row r="40" ht="18" customHeight="1"/>
    <row r="41" ht="18" customHeight="1"/>
    <row r="42" ht="18" customHeight="1">
      <c r="A42" s="213" t="str">
        <v>2 环法术</v>
      </c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5"/>
    </row>
    <row r="43" ht="18" customHeight="1">
      <c r="A43" s="22" t="str">
        <v>法术位总数</v>
      </c>
      <c r="B43" s="23"/>
      <c r="C43" s="23"/>
      <c r="D43" s="23"/>
      <c r="E43" s="23"/>
      <c r="F43" s="24"/>
      <c r="G43" s="983" t="str"/>
      <c r="H43" s="984"/>
      <c r="I43" s="985"/>
      <c r="J43" s="22" t="str">
        <v>已消耗</v>
      </c>
      <c r="K43" s="23"/>
      <c r="L43" s="23"/>
      <c r="M43" s="23"/>
      <c r="N43" s="23"/>
      <c r="O43" s="24"/>
      <c r="P43" s="983" t="str"/>
      <c r="Q43" s="984"/>
      <c r="R43" s="985"/>
    </row>
    <row r="44" ht="18" customHeight="1">
      <c r="A44" s="1223" t="str"/>
      <c r="B44" s="1224"/>
      <c r="C44" s="1239" t="str"/>
      <c r="D44" s="1240"/>
      <c r="E44" s="1240"/>
      <c r="F44" s="1240"/>
      <c r="G44" s="1240"/>
      <c r="H44" s="1240"/>
      <c r="I44" s="1240"/>
      <c r="J44" s="1240"/>
      <c r="K44" s="1240"/>
      <c r="L44" s="1240"/>
      <c r="M44" s="1240"/>
      <c r="N44" s="1240"/>
      <c r="O44" s="1240"/>
      <c r="P44" s="1240"/>
      <c r="Q44" s="1240"/>
      <c r="R44" s="1241"/>
      <c r="T44" s="213" t="str">
        <v>7 环法术</v>
      </c>
      <c r="U44" s="214"/>
      <c r="V44" s="214"/>
      <c r="W44" s="214"/>
      <c r="X44" s="214"/>
      <c r="Y44" s="214"/>
      <c r="Z44" s="214"/>
      <c r="AA44" s="214"/>
      <c r="AB44" s="214"/>
      <c r="AC44" s="214"/>
      <c r="AD44" s="214"/>
      <c r="AE44" s="214"/>
      <c r="AF44" s="214"/>
      <c r="AG44" s="214"/>
      <c r="AH44" s="214"/>
      <c r="AI44" s="214"/>
      <c r="AJ44" s="215"/>
    </row>
    <row r="45" ht="18" customHeight="1">
      <c r="A45" s="1223" t="str"/>
      <c r="B45" s="1224"/>
      <c r="C45" s="1239" t="str"/>
      <c r="D45" s="1240"/>
      <c r="E45" s="1240"/>
      <c r="F45" s="1240"/>
      <c r="G45" s="1240"/>
      <c r="H45" s="1240"/>
      <c r="I45" s="1240"/>
      <c r="J45" s="1240"/>
      <c r="K45" s="1240"/>
      <c r="L45" s="1240"/>
      <c r="M45" s="1240"/>
      <c r="N45" s="1240"/>
      <c r="O45" s="1240"/>
      <c r="P45" s="1240"/>
      <c r="Q45" s="1240"/>
      <c r="R45" s="1241"/>
      <c r="T45" s="22" t="str">
        <v>法术位总数</v>
      </c>
      <c r="U45" s="23"/>
      <c r="V45" s="23"/>
      <c r="W45" s="23"/>
      <c r="X45" s="23"/>
      <c r="Y45" s="24"/>
      <c r="Z45" s="983" t="str"/>
      <c r="AA45" s="984"/>
      <c r="AB45" s="985"/>
      <c r="AC45" s="22" t="str">
        <v>已消耗</v>
      </c>
      <c r="AD45" s="23"/>
      <c r="AE45" s="23"/>
      <c r="AF45" s="23"/>
      <c r="AG45" s="23"/>
      <c r="AH45" s="24"/>
      <c r="AI45" s="983" t="str"/>
      <c r="AJ45" s="985"/>
    </row>
    <row r="46" ht="18" customHeight="1">
      <c r="A46" s="1223" t="str"/>
      <c r="B46" s="1224"/>
      <c r="C46" s="1239" t="str"/>
      <c r="D46" s="1240"/>
      <c r="E46" s="1240"/>
      <c r="F46" s="1240"/>
      <c r="G46" s="1240"/>
      <c r="H46" s="1240"/>
      <c r="I46" s="1240"/>
      <c r="J46" s="1240"/>
      <c r="K46" s="1240"/>
      <c r="L46" s="1240"/>
      <c r="M46" s="1240"/>
      <c r="N46" s="1240"/>
      <c r="O46" s="1240"/>
      <c r="P46" s="1240"/>
      <c r="Q46" s="1240"/>
      <c r="R46" s="1241"/>
      <c r="T46" s="1223" t="str"/>
      <c r="U46" s="1224"/>
      <c r="V46" s="1239" t="str"/>
      <c r="W46" s="1240"/>
      <c r="X46" s="1240"/>
      <c r="Y46" s="1240"/>
      <c r="Z46" s="1240"/>
      <c r="AA46" s="1240"/>
      <c r="AB46" s="1240"/>
      <c r="AC46" s="1240"/>
      <c r="AD46" s="1240"/>
      <c r="AE46" s="1240"/>
      <c r="AF46" s="1240"/>
      <c r="AG46" s="1240"/>
      <c r="AH46" s="1240"/>
      <c r="AI46" s="1240"/>
      <c r="AJ46" s="1241"/>
    </row>
    <row r="47" ht="18" customHeight="1">
      <c r="A47" s="1223" t="str"/>
      <c r="B47" s="1224"/>
      <c r="C47" s="1239" t="str"/>
      <c r="D47" s="1240"/>
      <c r="E47" s="1240"/>
      <c r="F47" s="1240"/>
      <c r="G47" s="1240"/>
      <c r="H47" s="1240"/>
      <c r="I47" s="1240"/>
      <c r="J47" s="1240"/>
      <c r="K47" s="1240"/>
      <c r="L47" s="1240"/>
      <c r="M47" s="1240"/>
      <c r="N47" s="1240"/>
      <c r="O47" s="1240"/>
      <c r="P47" s="1240"/>
      <c r="Q47" s="1240"/>
      <c r="R47" s="1241"/>
      <c r="T47" s="1223" t="str"/>
      <c r="U47" s="1224"/>
      <c r="V47" s="1239" t="str"/>
      <c r="W47" s="1240"/>
      <c r="X47" s="1240"/>
      <c r="Y47" s="1240"/>
      <c r="Z47" s="1240"/>
      <c r="AA47" s="1240"/>
      <c r="AB47" s="1240"/>
      <c r="AC47" s="1240"/>
      <c r="AD47" s="1240"/>
      <c r="AE47" s="1240"/>
      <c r="AF47" s="1240"/>
      <c r="AG47" s="1240"/>
      <c r="AH47" s="1240"/>
      <c r="AI47" s="1240"/>
      <c r="AJ47" s="1241"/>
    </row>
    <row r="48" ht="18" customHeight="1">
      <c r="A48" s="1223" t="str"/>
      <c r="B48" s="1224"/>
      <c r="C48" s="1239" t="str"/>
      <c r="D48" s="1240"/>
      <c r="E48" s="1240"/>
      <c r="F48" s="1240"/>
      <c r="G48" s="1240"/>
      <c r="H48" s="1240"/>
      <c r="I48" s="1240"/>
      <c r="J48" s="1240"/>
      <c r="K48" s="1240"/>
      <c r="L48" s="1240"/>
      <c r="M48" s="1240"/>
      <c r="N48" s="1240"/>
      <c r="O48" s="1240"/>
      <c r="P48" s="1240"/>
      <c r="Q48" s="1240"/>
      <c r="R48" s="1241"/>
      <c r="T48" s="1223" t="str"/>
      <c r="U48" s="1224"/>
      <c r="V48" s="1239" t="str"/>
      <c r="W48" s="1240"/>
      <c r="X48" s="1240"/>
      <c r="Y48" s="1240"/>
      <c r="Z48" s="1240"/>
      <c r="AA48" s="1240"/>
      <c r="AB48" s="1240"/>
      <c r="AC48" s="1240"/>
      <c r="AD48" s="1240"/>
      <c r="AE48" s="1240"/>
      <c r="AF48" s="1240"/>
      <c r="AG48" s="1240"/>
      <c r="AH48" s="1240"/>
      <c r="AI48" s="1240"/>
      <c r="AJ48" s="1241"/>
    </row>
    <row r="49" ht="18" customHeight="1">
      <c r="A49" s="1223" t="str"/>
      <c r="B49" s="1224"/>
      <c r="C49" s="1239" t="str"/>
      <c r="D49" s="1240"/>
      <c r="E49" s="1240"/>
      <c r="F49" s="1240"/>
      <c r="G49" s="1240"/>
      <c r="H49" s="1240"/>
      <c r="I49" s="1240"/>
      <c r="J49" s="1240"/>
      <c r="K49" s="1240"/>
      <c r="L49" s="1240"/>
      <c r="M49" s="1240"/>
      <c r="N49" s="1240"/>
      <c r="O49" s="1240"/>
      <c r="P49" s="1240"/>
      <c r="Q49" s="1240"/>
      <c r="R49" s="1241"/>
      <c r="T49" s="1223" t="str"/>
      <c r="U49" s="1224"/>
      <c r="V49" s="1239" t="str"/>
      <c r="W49" s="1240"/>
      <c r="X49" s="1240"/>
      <c r="Y49" s="1240"/>
      <c r="Z49" s="1240"/>
      <c r="AA49" s="1240"/>
      <c r="AB49" s="1240"/>
      <c r="AC49" s="1240"/>
      <c r="AD49" s="1240"/>
      <c r="AE49" s="1240"/>
      <c r="AF49" s="1240"/>
      <c r="AG49" s="1240"/>
      <c r="AH49" s="1240"/>
      <c r="AI49" s="1240"/>
      <c r="AJ49" s="1241"/>
    </row>
    <row r="50" ht="18" customHeight="1">
      <c r="A50" s="1223" t="str"/>
      <c r="B50" s="1224"/>
      <c r="C50" s="1239" t="str"/>
      <c r="D50" s="1240"/>
      <c r="E50" s="1240"/>
      <c r="F50" s="1240"/>
      <c r="G50" s="1240"/>
      <c r="H50" s="1240"/>
      <c r="I50" s="1240"/>
      <c r="J50" s="1240"/>
      <c r="K50" s="1240"/>
      <c r="L50" s="1240"/>
      <c r="M50" s="1240"/>
      <c r="N50" s="1240"/>
      <c r="O50" s="1240"/>
      <c r="P50" s="1240"/>
      <c r="Q50" s="1240"/>
      <c r="R50" s="1241"/>
      <c r="T50" s="1223" t="str"/>
      <c r="U50" s="1224"/>
      <c r="V50" s="1239" t="str"/>
      <c r="W50" s="1240"/>
      <c r="X50" s="1240"/>
      <c r="Y50" s="1240"/>
      <c r="Z50" s="1240"/>
      <c r="AA50" s="1240"/>
      <c r="AB50" s="1240"/>
      <c r="AC50" s="1240"/>
      <c r="AD50" s="1240"/>
      <c r="AE50" s="1240"/>
      <c r="AF50" s="1240"/>
      <c r="AG50" s="1240"/>
      <c r="AH50" s="1240"/>
      <c r="AI50" s="1240"/>
      <c r="AJ50" s="1241"/>
    </row>
    <row r="51" ht="18" customHeight="1">
      <c r="A51" s="1223" t="str"/>
      <c r="B51" s="1224"/>
      <c r="C51" s="1239" t="str"/>
      <c r="D51" s="1240"/>
      <c r="E51" s="1240"/>
      <c r="F51" s="1240"/>
      <c r="G51" s="1240"/>
      <c r="H51" s="1240"/>
      <c r="I51" s="1240"/>
      <c r="J51" s="1240"/>
      <c r="K51" s="1240"/>
      <c r="L51" s="1240"/>
      <c r="M51" s="1240"/>
      <c r="N51" s="1240"/>
      <c r="O51" s="1240"/>
      <c r="P51" s="1240"/>
      <c r="Q51" s="1240"/>
      <c r="R51" s="1241"/>
      <c r="T51" s="1223" t="str"/>
      <c r="U51" s="1224"/>
      <c r="V51" s="1239" t="str"/>
      <c r="W51" s="1240"/>
      <c r="X51" s="1240"/>
      <c r="Y51" s="1240"/>
      <c r="Z51" s="1240"/>
      <c r="AA51" s="1240"/>
      <c r="AB51" s="1240"/>
      <c r="AC51" s="1240"/>
      <c r="AD51" s="1240"/>
      <c r="AE51" s="1240"/>
      <c r="AF51" s="1240"/>
      <c r="AG51" s="1240"/>
      <c r="AH51" s="1240"/>
      <c r="AI51" s="1240"/>
      <c r="AJ51" s="1241"/>
    </row>
    <row r="52" ht="18" customHeight="1">
      <c r="A52" s="1223" t="str"/>
      <c r="B52" s="1224"/>
      <c r="C52" s="1239" t="str"/>
      <c r="D52" s="1240"/>
      <c r="E52" s="1240"/>
      <c r="F52" s="1240"/>
      <c r="G52" s="1240"/>
      <c r="H52" s="1240"/>
      <c r="I52" s="1240"/>
      <c r="J52" s="1240"/>
      <c r="K52" s="1240"/>
      <c r="L52" s="1240"/>
      <c r="M52" s="1240"/>
      <c r="N52" s="1240"/>
      <c r="O52" s="1240"/>
      <c r="P52" s="1240"/>
      <c r="Q52" s="1240"/>
      <c r="R52" s="1241"/>
      <c r="T52" s="1223" t="str"/>
      <c r="U52" s="1224"/>
      <c r="V52" s="1239" t="str"/>
      <c r="W52" s="1240"/>
      <c r="X52" s="1240"/>
      <c r="Y52" s="1240"/>
      <c r="Z52" s="1240"/>
      <c r="AA52" s="1240"/>
      <c r="AB52" s="1240"/>
      <c r="AC52" s="1240"/>
      <c r="AD52" s="1240"/>
      <c r="AE52" s="1240"/>
      <c r="AF52" s="1240"/>
      <c r="AG52" s="1240"/>
      <c r="AH52" s="1240"/>
      <c r="AI52" s="1240"/>
      <c r="AJ52" s="1241"/>
    </row>
    <row r="53" ht="18" customHeight="1">
      <c r="A53" s="1223" t="str"/>
      <c r="B53" s="1224"/>
      <c r="C53" s="1239" t="str"/>
      <c r="D53" s="1240"/>
      <c r="E53" s="1240"/>
      <c r="F53" s="1240"/>
      <c r="G53" s="1240"/>
      <c r="H53" s="1240"/>
      <c r="I53" s="1240"/>
      <c r="J53" s="1240"/>
      <c r="K53" s="1240"/>
      <c r="L53" s="1240"/>
      <c r="M53" s="1240"/>
      <c r="N53" s="1240"/>
      <c r="O53" s="1240"/>
      <c r="P53" s="1240"/>
      <c r="Q53" s="1240"/>
      <c r="R53" s="1241"/>
      <c r="T53" s="1223" t="str"/>
      <c r="U53" s="1224"/>
      <c r="V53" s="1239" t="str"/>
      <c r="W53" s="1240"/>
      <c r="X53" s="1240"/>
      <c r="Y53" s="1240"/>
      <c r="Z53" s="1240"/>
      <c r="AA53" s="1240"/>
      <c r="AB53" s="1240"/>
      <c r="AC53" s="1240"/>
      <c r="AD53" s="1240"/>
      <c r="AE53" s="1240"/>
      <c r="AF53" s="1240"/>
      <c r="AG53" s="1240"/>
      <c r="AH53" s="1240"/>
      <c r="AI53" s="1240"/>
      <c r="AJ53" s="1241"/>
    </row>
    <row r="54" ht="18" customHeight="1">
      <c r="T54" s="1223" t="str"/>
      <c r="U54" s="1224"/>
      <c r="V54" s="1239" t="str"/>
      <c r="W54" s="1240"/>
      <c r="X54" s="1240"/>
      <c r="Y54" s="1240"/>
      <c r="Z54" s="1240"/>
      <c r="AA54" s="1240"/>
      <c r="AB54" s="1240"/>
      <c r="AC54" s="1240"/>
      <c r="AD54" s="1240"/>
      <c r="AE54" s="1240"/>
      <c r="AF54" s="1240"/>
      <c r="AG54" s="1240"/>
      <c r="AH54" s="1240"/>
      <c r="AI54" s="1240"/>
      <c r="AJ54" s="1241"/>
    </row>
    <row r="55" ht="18" customHeight="1">
      <c r="T55" s="1223" t="str"/>
      <c r="U55" s="1224"/>
      <c r="V55" s="1239" t="str"/>
      <c r="W55" s="1240"/>
      <c r="X55" s="1240"/>
      <c r="Y55" s="1240"/>
      <c r="Z55" s="1240"/>
      <c r="AA55" s="1240"/>
      <c r="AB55" s="1240"/>
      <c r="AC55" s="1240"/>
      <c r="AD55" s="1240"/>
      <c r="AE55" s="1240"/>
      <c r="AF55" s="1240"/>
      <c r="AG55" s="1240"/>
      <c r="AH55" s="1240"/>
      <c r="AI55" s="1240"/>
      <c r="AJ55" s="1241"/>
    </row>
    <row r="56" ht="18" customHeight="1"/>
    <row r="57" ht="18" customHeight="1"/>
    <row r="58" ht="18" customHeight="1"/>
    <row r="59" ht="18" customHeight="1"/>
    <row r="60" ht="18" customHeight="1">
      <c r="A60" s="213" t="str">
        <v>3 环法术</v>
      </c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5"/>
    </row>
    <row r="61" ht="18" customHeight="1">
      <c r="A61" s="22" t="str">
        <v>法术位总数</v>
      </c>
      <c r="B61" s="23"/>
      <c r="C61" s="23"/>
      <c r="D61" s="23"/>
      <c r="E61" s="23"/>
      <c r="F61" s="24"/>
      <c r="G61" s="983" t="str"/>
      <c r="H61" s="984"/>
      <c r="I61" s="985"/>
      <c r="J61" s="22" t="str">
        <v>已消耗</v>
      </c>
      <c r="K61" s="23"/>
      <c r="L61" s="23"/>
      <c r="M61" s="23"/>
      <c r="N61" s="23"/>
      <c r="O61" s="24"/>
      <c r="P61" s="983" t="str"/>
      <c r="Q61" s="984"/>
      <c r="R61" s="985"/>
    </row>
    <row r="62" ht="18" customHeight="1">
      <c r="A62" s="1223" t="str"/>
      <c r="B62" s="1224"/>
      <c r="C62" s="1239" t="str"/>
      <c r="D62" s="1240"/>
      <c r="E62" s="1240"/>
      <c r="F62" s="1240"/>
      <c r="G62" s="1240"/>
      <c r="H62" s="1240"/>
      <c r="I62" s="1240"/>
      <c r="J62" s="1240"/>
      <c r="K62" s="1240"/>
      <c r="L62" s="1240"/>
      <c r="M62" s="1240"/>
      <c r="N62" s="1240"/>
      <c r="O62" s="1240"/>
      <c r="P62" s="1240"/>
      <c r="Q62" s="1240"/>
      <c r="R62" s="1241"/>
      <c r="T62" s="213" t="str">
        <v>8 环法术</v>
      </c>
      <c r="U62" s="214"/>
      <c r="V62" s="214"/>
      <c r="W62" s="214"/>
      <c r="X62" s="214"/>
      <c r="Y62" s="214"/>
      <c r="Z62" s="214"/>
      <c r="AA62" s="214"/>
      <c r="AB62" s="214"/>
      <c r="AC62" s="214"/>
      <c r="AD62" s="214"/>
      <c r="AE62" s="214"/>
      <c r="AF62" s="214"/>
      <c r="AG62" s="214"/>
      <c r="AH62" s="214"/>
      <c r="AI62" s="214"/>
      <c r="AJ62" s="215"/>
    </row>
    <row r="63" ht="18" customHeight="1">
      <c r="A63" s="1223" t="str"/>
      <c r="B63" s="1224"/>
      <c r="C63" s="1239" t="str"/>
      <c r="D63" s="1240"/>
      <c r="E63" s="1240"/>
      <c r="F63" s="1240"/>
      <c r="G63" s="1240"/>
      <c r="H63" s="1240"/>
      <c r="I63" s="1240"/>
      <c r="J63" s="1240"/>
      <c r="K63" s="1240"/>
      <c r="L63" s="1240"/>
      <c r="M63" s="1240"/>
      <c r="N63" s="1240"/>
      <c r="O63" s="1240"/>
      <c r="P63" s="1240"/>
      <c r="Q63" s="1240"/>
      <c r="R63" s="1241"/>
      <c r="T63" s="22" t="str">
        <v>法术位总数</v>
      </c>
      <c r="U63" s="23"/>
      <c r="V63" s="23"/>
      <c r="W63" s="23"/>
      <c r="X63" s="23"/>
      <c r="Y63" s="24"/>
      <c r="Z63" s="983" t="str"/>
      <c r="AA63" s="984"/>
      <c r="AB63" s="985"/>
      <c r="AC63" s="22" t="str">
        <v>已消耗</v>
      </c>
      <c r="AD63" s="23"/>
      <c r="AE63" s="23"/>
      <c r="AF63" s="23"/>
      <c r="AG63" s="23"/>
      <c r="AH63" s="24"/>
      <c r="AI63" s="983" t="str"/>
      <c r="AJ63" s="985"/>
    </row>
    <row r="64" ht="18" customHeight="1">
      <c r="A64" s="1223" t="str"/>
      <c r="B64" s="1224"/>
      <c r="C64" s="1239" t="str"/>
      <c r="D64" s="1240"/>
      <c r="E64" s="1240"/>
      <c r="F64" s="1240"/>
      <c r="G64" s="1240"/>
      <c r="H64" s="1240"/>
      <c r="I64" s="1240"/>
      <c r="J64" s="1240"/>
      <c r="K64" s="1240"/>
      <c r="L64" s="1240"/>
      <c r="M64" s="1240"/>
      <c r="N64" s="1240"/>
      <c r="O64" s="1240"/>
      <c r="P64" s="1240"/>
      <c r="Q64" s="1240"/>
      <c r="R64" s="1241"/>
      <c r="T64" s="1223" t="str"/>
      <c r="U64" s="1224"/>
      <c r="V64" s="1239" t="str"/>
      <c r="W64" s="1240"/>
      <c r="X64" s="1240"/>
      <c r="Y64" s="1240"/>
      <c r="Z64" s="1240"/>
      <c r="AA64" s="1240"/>
      <c r="AB64" s="1240"/>
      <c r="AC64" s="1240"/>
      <c r="AD64" s="1240"/>
      <c r="AE64" s="1240"/>
      <c r="AF64" s="1240"/>
      <c r="AG64" s="1240"/>
      <c r="AH64" s="1240"/>
      <c r="AI64" s="1240"/>
      <c r="AJ64" s="1241"/>
    </row>
    <row r="65" ht="18" customHeight="1">
      <c r="A65" s="1223" t="str"/>
      <c r="B65" s="1224"/>
      <c r="C65" s="1239" t="str"/>
      <c r="D65" s="1240"/>
      <c r="E65" s="1240"/>
      <c r="F65" s="1240"/>
      <c r="G65" s="1240"/>
      <c r="H65" s="1240"/>
      <c r="I65" s="1240"/>
      <c r="J65" s="1240"/>
      <c r="K65" s="1240"/>
      <c r="L65" s="1240"/>
      <c r="M65" s="1240"/>
      <c r="N65" s="1240"/>
      <c r="O65" s="1240"/>
      <c r="P65" s="1240"/>
      <c r="Q65" s="1240"/>
      <c r="R65" s="1241"/>
      <c r="T65" s="1223" t="str"/>
      <c r="U65" s="1224"/>
      <c r="V65" s="1239" t="str"/>
      <c r="W65" s="1240"/>
      <c r="X65" s="1240"/>
      <c r="Y65" s="1240"/>
      <c r="Z65" s="1240"/>
      <c r="AA65" s="1240"/>
      <c r="AB65" s="1240"/>
      <c r="AC65" s="1240"/>
      <c r="AD65" s="1240"/>
      <c r="AE65" s="1240"/>
      <c r="AF65" s="1240"/>
      <c r="AG65" s="1240"/>
      <c r="AH65" s="1240"/>
      <c r="AI65" s="1240"/>
      <c r="AJ65" s="1241"/>
    </row>
    <row r="66" ht="18" customHeight="1">
      <c r="A66" s="1223" t="str"/>
      <c r="B66" s="1224"/>
      <c r="C66" s="1239" t="str"/>
      <c r="D66" s="1240"/>
      <c r="E66" s="1240"/>
      <c r="F66" s="1240"/>
      <c r="G66" s="1240"/>
      <c r="H66" s="1240"/>
      <c r="I66" s="1240"/>
      <c r="J66" s="1240"/>
      <c r="K66" s="1240"/>
      <c r="L66" s="1240"/>
      <c r="M66" s="1240"/>
      <c r="N66" s="1240"/>
      <c r="O66" s="1240"/>
      <c r="P66" s="1240"/>
      <c r="Q66" s="1240"/>
      <c r="R66" s="1241"/>
      <c r="T66" s="1223" t="str"/>
      <c r="U66" s="1224"/>
      <c r="V66" s="1239" t="str"/>
      <c r="W66" s="1240"/>
      <c r="X66" s="1240"/>
      <c r="Y66" s="1240"/>
      <c r="Z66" s="1240"/>
      <c r="AA66" s="1240"/>
      <c r="AB66" s="1240"/>
      <c r="AC66" s="1240"/>
      <c r="AD66" s="1240"/>
      <c r="AE66" s="1240"/>
      <c r="AF66" s="1240"/>
      <c r="AG66" s="1240"/>
      <c r="AH66" s="1240"/>
      <c r="AI66" s="1240"/>
      <c r="AJ66" s="1241"/>
    </row>
    <row r="67" ht="18" customHeight="1">
      <c r="A67" s="1223" t="str"/>
      <c r="B67" s="1224"/>
      <c r="C67" s="1239" t="str"/>
      <c r="D67" s="1240"/>
      <c r="E67" s="1240"/>
      <c r="F67" s="1240"/>
      <c r="G67" s="1240"/>
      <c r="H67" s="1240"/>
      <c r="I67" s="1240"/>
      <c r="J67" s="1240"/>
      <c r="K67" s="1240"/>
      <c r="L67" s="1240"/>
      <c r="M67" s="1240"/>
      <c r="N67" s="1240"/>
      <c r="O67" s="1240"/>
      <c r="P67" s="1240"/>
      <c r="Q67" s="1240"/>
      <c r="R67" s="1241"/>
      <c r="T67" s="1223" t="str"/>
      <c r="U67" s="1224"/>
      <c r="V67" s="1239" t="str"/>
      <c r="W67" s="1240"/>
      <c r="X67" s="1240"/>
      <c r="Y67" s="1240"/>
      <c r="Z67" s="1240"/>
      <c r="AA67" s="1240"/>
      <c r="AB67" s="1240"/>
      <c r="AC67" s="1240"/>
      <c r="AD67" s="1240"/>
      <c r="AE67" s="1240"/>
      <c r="AF67" s="1240"/>
      <c r="AG67" s="1240"/>
      <c r="AH67" s="1240"/>
      <c r="AI67" s="1240"/>
      <c r="AJ67" s="1241"/>
    </row>
    <row r="68" ht="18" customHeight="1">
      <c r="A68" s="1223" t="str"/>
      <c r="B68" s="1224"/>
      <c r="C68" s="1239" t="str"/>
      <c r="D68" s="1240"/>
      <c r="E68" s="1240"/>
      <c r="F68" s="1240"/>
      <c r="G68" s="1240"/>
      <c r="H68" s="1240"/>
      <c r="I68" s="1240"/>
      <c r="J68" s="1240"/>
      <c r="K68" s="1240"/>
      <c r="L68" s="1240"/>
      <c r="M68" s="1240"/>
      <c r="N68" s="1240"/>
      <c r="O68" s="1240"/>
      <c r="P68" s="1240"/>
      <c r="Q68" s="1240"/>
      <c r="R68" s="1241"/>
      <c r="T68" s="1223" t="str"/>
      <c r="U68" s="1224"/>
      <c r="V68" s="1239" t="str"/>
      <c r="W68" s="1240"/>
      <c r="X68" s="1240"/>
      <c r="Y68" s="1240"/>
      <c r="Z68" s="1240"/>
      <c r="AA68" s="1240"/>
      <c r="AB68" s="1240"/>
      <c r="AC68" s="1240"/>
      <c r="AD68" s="1240"/>
      <c r="AE68" s="1240"/>
      <c r="AF68" s="1240"/>
      <c r="AG68" s="1240"/>
      <c r="AH68" s="1240"/>
      <c r="AI68" s="1240"/>
      <c r="AJ68" s="1241"/>
    </row>
    <row r="69" ht="18" customHeight="1">
      <c r="A69" s="1223" t="str"/>
      <c r="B69" s="1224"/>
      <c r="C69" s="1239" t="str"/>
      <c r="D69" s="1240"/>
      <c r="E69" s="1240"/>
      <c r="F69" s="1240"/>
      <c r="G69" s="1240"/>
      <c r="H69" s="1240"/>
      <c r="I69" s="1240"/>
      <c r="J69" s="1240"/>
      <c r="K69" s="1240"/>
      <c r="L69" s="1240"/>
      <c r="M69" s="1240"/>
      <c r="N69" s="1240"/>
      <c r="O69" s="1240"/>
      <c r="P69" s="1240"/>
      <c r="Q69" s="1240"/>
      <c r="R69" s="1241"/>
      <c r="T69" s="1223" t="str"/>
      <c r="U69" s="1224"/>
      <c r="V69" s="1239" t="str"/>
      <c r="W69" s="1240"/>
      <c r="X69" s="1240"/>
      <c r="Y69" s="1240"/>
      <c r="Z69" s="1240"/>
      <c r="AA69" s="1240"/>
      <c r="AB69" s="1240"/>
      <c r="AC69" s="1240"/>
      <c r="AD69" s="1240"/>
      <c r="AE69" s="1240"/>
      <c r="AF69" s="1240"/>
      <c r="AG69" s="1240"/>
      <c r="AH69" s="1240"/>
      <c r="AI69" s="1240"/>
      <c r="AJ69" s="1241"/>
    </row>
    <row r="70" ht="18" customHeight="1">
      <c r="A70" s="1223" t="str"/>
      <c r="B70" s="1224"/>
      <c r="C70" s="1239" t="str"/>
      <c r="D70" s="1240"/>
      <c r="E70" s="1240"/>
      <c r="F70" s="1240"/>
      <c r="G70" s="1240"/>
      <c r="H70" s="1240"/>
      <c r="I70" s="1240"/>
      <c r="J70" s="1240"/>
      <c r="K70" s="1240"/>
      <c r="L70" s="1240"/>
      <c r="M70" s="1240"/>
      <c r="N70" s="1240"/>
      <c r="O70" s="1240"/>
      <c r="P70" s="1240"/>
      <c r="Q70" s="1240"/>
      <c r="R70" s="1241"/>
      <c r="T70" s="1223" t="str"/>
      <c r="U70" s="1224"/>
      <c r="V70" s="1239" t="str"/>
      <c r="W70" s="1240"/>
      <c r="X70" s="1240"/>
      <c r="Y70" s="1240"/>
      <c r="Z70" s="1240"/>
      <c r="AA70" s="1240"/>
      <c r="AB70" s="1240"/>
      <c r="AC70" s="1240"/>
      <c r="AD70" s="1240"/>
      <c r="AE70" s="1240"/>
      <c r="AF70" s="1240"/>
      <c r="AG70" s="1240"/>
      <c r="AH70" s="1240"/>
      <c r="AI70" s="1240"/>
      <c r="AJ70" s="1241"/>
    </row>
    <row r="71" ht="18" customHeight="1">
      <c r="A71" s="1223" t="str"/>
      <c r="B71" s="1224"/>
      <c r="C71" s="1239" t="str"/>
      <c r="D71" s="1240"/>
      <c r="E71" s="1240"/>
      <c r="F71" s="1240"/>
      <c r="G71" s="1240"/>
      <c r="H71" s="1240"/>
      <c r="I71" s="1240"/>
      <c r="J71" s="1240"/>
      <c r="K71" s="1240"/>
      <c r="L71" s="1240"/>
      <c r="M71" s="1240"/>
      <c r="N71" s="1240"/>
      <c r="O71" s="1240"/>
      <c r="P71" s="1240"/>
      <c r="Q71" s="1240"/>
      <c r="R71" s="1241"/>
      <c r="T71" s="1223" t="str"/>
      <c r="U71" s="1224"/>
      <c r="V71" s="1239" t="str"/>
      <c r="W71" s="1240"/>
      <c r="X71" s="1240"/>
      <c r="Y71" s="1240"/>
      <c r="Z71" s="1240"/>
      <c r="AA71" s="1240"/>
      <c r="AB71" s="1240"/>
      <c r="AC71" s="1240"/>
      <c r="AD71" s="1240"/>
      <c r="AE71" s="1240"/>
      <c r="AF71" s="1240"/>
      <c r="AG71" s="1240"/>
      <c r="AH71" s="1240"/>
      <c r="AI71" s="1240"/>
      <c r="AJ71" s="1241"/>
    </row>
    <row r="72" ht="18" customHeight="1">
      <c r="T72" s="1223" t="str"/>
      <c r="U72" s="1224"/>
      <c r="V72" s="1239" t="str"/>
      <c r="W72" s="1240"/>
      <c r="X72" s="1240"/>
      <c r="Y72" s="1240"/>
      <c r="Z72" s="1240"/>
      <c r="AA72" s="1240"/>
      <c r="AB72" s="1240"/>
      <c r="AC72" s="1240"/>
      <c r="AD72" s="1240"/>
      <c r="AE72" s="1240"/>
      <c r="AF72" s="1240"/>
      <c r="AG72" s="1240"/>
      <c r="AH72" s="1240"/>
      <c r="AI72" s="1240"/>
      <c r="AJ72" s="1241"/>
    </row>
    <row r="73" ht="18" customHeight="1">
      <c r="T73" s="1223" t="str"/>
      <c r="U73" s="1224"/>
      <c r="V73" s="1239" t="str"/>
      <c r="W73" s="1240"/>
      <c r="X73" s="1240"/>
      <c r="Y73" s="1240"/>
      <c r="Z73" s="1240"/>
      <c r="AA73" s="1240"/>
      <c r="AB73" s="1240"/>
      <c r="AC73" s="1240"/>
      <c r="AD73" s="1240"/>
      <c r="AE73" s="1240"/>
      <c r="AF73" s="1240"/>
      <c r="AG73" s="1240"/>
      <c r="AH73" s="1240"/>
      <c r="AI73" s="1240"/>
      <c r="AJ73" s="1241"/>
    </row>
    <row r="74" ht="18" customHeight="1"/>
    <row r="75" ht="18" customHeight="1"/>
    <row r="76" ht="18" customHeight="1"/>
    <row r="77" ht="18" customHeight="1"/>
    <row r="78" ht="18" customHeight="1">
      <c r="A78" s="213" t="str">
        <v>4 环法术</v>
      </c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5"/>
    </row>
    <row r="79" ht="18" customHeight="1">
      <c r="A79" s="22" t="str">
        <v>法术位总数</v>
      </c>
      <c r="B79" s="23"/>
      <c r="C79" s="23"/>
      <c r="D79" s="23"/>
      <c r="E79" s="23"/>
      <c r="F79" s="24"/>
      <c r="G79" s="983" t="str"/>
      <c r="H79" s="984"/>
      <c r="I79" s="985"/>
      <c r="J79" s="22" t="str">
        <v>已消耗</v>
      </c>
      <c r="K79" s="23"/>
      <c r="L79" s="23"/>
      <c r="M79" s="23"/>
      <c r="N79" s="23"/>
      <c r="O79" s="24"/>
      <c r="P79" s="983" t="str"/>
      <c r="Q79" s="984"/>
      <c r="R79" s="985"/>
    </row>
    <row r="80" ht="18" customHeight="1">
      <c r="A80" s="1223" t="str"/>
      <c r="B80" s="1224"/>
      <c r="C80" s="1239" t="str"/>
      <c r="D80" s="1240"/>
      <c r="E80" s="1240"/>
      <c r="F80" s="1240"/>
      <c r="G80" s="1240"/>
      <c r="H80" s="1240"/>
      <c r="I80" s="1240"/>
      <c r="J80" s="1240"/>
      <c r="K80" s="1240"/>
      <c r="L80" s="1240"/>
      <c r="M80" s="1240"/>
      <c r="N80" s="1240"/>
      <c r="O80" s="1240"/>
      <c r="P80" s="1240"/>
      <c r="Q80" s="1240"/>
      <c r="R80" s="1241"/>
      <c r="T80" s="213" t="str">
        <v>9 环法术</v>
      </c>
      <c r="U80" s="214"/>
      <c r="V80" s="214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214"/>
      <c r="AJ80" s="215"/>
    </row>
    <row r="81" ht="18" customHeight="1">
      <c r="A81" s="1223" t="str"/>
      <c r="B81" s="1224"/>
      <c r="C81" s="1239" t="str"/>
      <c r="D81" s="1240"/>
      <c r="E81" s="1240"/>
      <c r="F81" s="1240"/>
      <c r="G81" s="1240"/>
      <c r="H81" s="1240"/>
      <c r="I81" s="1240"/>
      <c r="J81" s="1240"/>
      <c r="K81" s="1240"/>
      <c r="L81" s="1240"/>
      <c r="M81" s="1240"/>
      <c r="N81" s="1240"/>
      <c r="O81" s="1240"/>
      <c r="P81" s="1240"/>
      <c r="Q81" s="1240"/>
      <c r="R81" s="1241"/>
      <c r="T81" s="22" t="str">
        <v>法术位总数</v>
      </c>
      <c r="U81" s="23"/>
      <c r="V81" s="23"/>
      <c r="W81" s="23"/>
      <c r="X81" s="23"/>
      <c r="Y81" s="24"/>
      <c r="Z81" s="983" t="str"/>
      <c r="AA81" s="984"/>
      <c r="AB81" s="985"/>
      <c r="AC81" s="22" t="str">
        <v>已消耗</v>
      </c>
      <c r="AD81" s="23"/>
      <c r="AE81" s="23"/>
      <c r="AF81" s="23"/>
      <c r="AG81" s="23"/>
      <c r="AH81" s="24"/>
      <c r="AI81" s="983" t="str"/>
      <c r="AJ81" s="985"/>
    </row>
    <row r="82" ht="18" customHeight="1">
      <c r="A82" s="1223" t="str"/>
      <c r="B82" s="1224"/>
      <c r="C82" s="1239" t="str"/>
      <c r="D82" s="1240"/>
      <c r="E82" s="1240"/>
      <c r="F82" s="1240"/>
      <c r="G82" s="1240"/>
      <c r="H82" s="1240"/>
      <c r="I82" s="1240"/>
      <c r="J82" s="1240"/>
      <c r="K82" s="1240"/>
      <c r="L82" s="1240"/>
      <c r="M82" s="1240"/>
      <c r="N82" s="1240"/>
      <c r="O82" s="1240"/>
      <c r="P82" s="1240"/>
      <c r="Q82" s="1240"/>
      <c r="R82" s="1241"/>
      <c r="T82" s="1223" t="str"/>
      <c r="U82" s="1224"/>
      <c r="V82" s="1239" t="str"/>
      <c r="W82" s="1240"/>
      <c r="X82" s="1240"/>
      <c r="Y82" s="1240"/>
      <c r="Z82" s="1240"/>
      <c r="AA82" s="1240"/>
      <c r="AB82" s="1240"/>
      <c r="AC82" s="1240"/>
      <c r="AD82" s="1240"/>
      <c r="AE82" s="1240"/>
      <c r="AF82" s="1240"/>
      <c r="AG82" s="1240"/>
      <c r="AH82" s="1240"/>
      <c r="AI82" s="1240"/>
      <c r="AJ82" s="1241"/>
    </row>
    <row r="83" ht="18" customHeight="1">
      <c r="A83" s="1223" t="str"/>
      <c r="B83" s="1224"/>
      <c r="C83" s="1239" t="str"/>
      <c r="D83" s="1240"/>
      <c r="E83" s="1240"/>
      <c r="F83" s="1240"/>
      <c r="G83" s="1240"/>
      <c r="H83" s="1240"/>
      <c r="I83" s="1240"/>
      <c r="J83" s="1240"/>
      <c r="K83" s="1240"/>
      <c r="L83" s="1240"/>
      <c r="M83" s="1240"/>
      <c r="N83" s="1240"/>
      <c r="O83" s="1240"/>
      <c r="P83" s="1240"/>
      <c r="Q83" s="1240"/>
      <c r="R83" s="1241"/>
      <c r="T83" s="1223" t="str"/>
      <c r="U83" s="1224"/>
      <c r="V83" s="1239" t="str"/>
      <c r="W83" s="1240"/>
      <c r="X83" s="1240"/>
      <c r="Y83" s="1240"/>
      <c r="Z83" s="1240"/>
      <c r="AA83" s="1240"/>
      <c r="AB83" s="1240"/>
      <c r="AC83" s="1240"/>
      <c r="AD83" s="1240"/>
      <c r="AE83" s="1240"/>
      <c r="AF83" s="1240"/>
      <c r="AG83" s="1240"/>
      <c r="AH83" s="1240"/>
      <c r="AI83" s="1240"/>
      <c r="AJ83" s="1241"/>
    </row>
    <row r="84" ht="18" customHeight="1">
      <c r="A84" s="1223" t="str"/>
      <c r="B84" s="1224"/>
      <c r="C84" s="1239" t="str"/>
      <c r="D84" s="1240"/>
      <c r="E84" s="1240"/>
      <c r="F84" s="1240"/>
      <c r="G84" s="1240"/>
      <c r="H84" s="1240"/>
      <c r="I84" s="1240"/>
      <c r="J84" s="1240"/>
      <c r="K84" s="1240"/>
      <c r="L84" s="1240"/>
      <c r="M84" s="1240"/>
      <c r="N84" s="1240"/>
      <c r="O84" s="1240"/>
      <c r="P84" s="1240"/>
      <c r="Q84" s="1240"/>
      <c r="R84" s="1241"/>
      <c r="T84" s="1223" t="str"/>
      <c r="U84" s="1224"/>
      <c r="V84" s="1239" t="str"/>
      <c r="W84" s="1240"/>
      <c r="X84" s="1240"/>
      <c r="Y84" s="1240"/>
      <c r="Z84" s="1240"/>
      <c r="AA84" s="1240"/>
      <c r="AB84" s="1240"/>
      <c r="AC84" s="1240"/>
      <c r="AD84" s="1240"/>
      <c r="AE84" s="1240"/>
      <c r="AF84" s="1240"/>
      <c r="AG84" s="1240"/>
      <c r="AH84" s="1240"/>
      <c r="AI84" s="1240"/>
      <c r="AJ84" s="1241"/>
    </row>
    <row r="85" ht="18" customHeight="1">
      <c r="A85" s="1223" t="str"/>
      <c r="B85" s="1224"/>
      <c r="C85" s="1239" t="str"/>
      <c r="D85" s="1240"/>
      <c r="E85" s="1240"/>
      <c r="F85" s="1240"/>
      <c r="G85" s="1240"/>
      <c r="H85" s="1240"/>
      <c r="I85" s="1240"/>
      <c r="J85" s="1240"/>
      <c r="K85" s="1240"/>
      <c r="L85" s="1240"/>
      <c r="M85" s="1240"/>
      <c r="N85" s="1240"/>
      <c r="O85" s="1240"/>
      <c r="P85" s="1240"/>
      <c r="Q85" s="1240"/>
      <c r="R85" s="1241"/>
      <c r="T85" s="1223" t="str"/>
      <c r="U85" s="1224"/>
      <c r="V85" s="1239" t="str"/>
      <c r="W85" s="1240"/>
      <c r="X85" s="1240"/>
      <c r="Y85" s="1240"/>
      <c r="Z85" s="1240"/>
      <c r="AA85" s="1240"/>
      <c r="AB85" s="1240"/>
      <c r="AC85" s="1240"/>
      <c r="AD85" s="1240"/>
      <c r="AE85" s="1240"/>
      <c r="AF85" s="1240"/>
      <c r="AG85" s="1240"/>
      <c r="AH85" s="1240"/>
      <c r="AI85" s="1240"/>
      <c r="AJ85" s="1241"/>
    </row>
    <row r="86" ht="18" customHeight="1">
      <c r="A86" s="1223" t="str"/>
      <c r="B86" s="1224"/>
      <c r="C86" s="1239" t="str"/>
      <c r="D86" s="1240"/>
      <c r="E86" s="1240"/>
      <c r="F86" s="1240"/>
      <c r="G86" s="1240"/>
      <c r="H86" s="1240"/>
      <c r="I86" s="1240"/>
      <c r="J86" s="1240"/>
      <c r="K86" s="1240"/>
      <c r="L86" s="1240"/>
      <c r="M86" s="1240"/>
      <c r="N86" s="1240"/>
      <c r="O86" s="1240"/>
      <c r="P86" s="1240"/>
      <c r="Q86" s="1240"/>
      <c r="R86" s="1241"/>
      <c r="T86" s="1223" t="str"/>
      <c r="U86" s="1224"/>
      <c r="V86" s="1239" t="str"/>
      <c r="W86" s="1240"/>
      <c r="X86" s="1240"/>
      <c r="Y86" s="1240"/>
      <c r="Z86" s="1240"/>
      <c r="AA86" s="1240"/>
      <c r="AB86" s="1240"/>
      <c r="AC86" s="1240"/>
      <c r="AD86" s="1240"/>
      <c r="AE86" s="1240"/>
      <c r="AF86" s="1240"/>
      <c r="AG86" s="1240"/>
      <c r="AH86" s="1240"/>
      <c r="AI86" s="1240"/>
      <c r="AJ86" s="1241"/>
    </row>
    <row r="87" ht="18" customHeight="1">
      <c r="A87" s="1223" t="str"/>
      <c r="B87" s="1224"/>
      <c r="C87" s="1239" t="str"/>
      <c r="D87" s="1240"/>
      <c r="E87" s="1240"/>
      <c r="F87" s="1240"/>
      <c r="G87" s="1240"/>
      <c r="H87" s="1240"/>
      <c r="I87" s="1240"/>
      <c r="J87" s="1240"/>
      <c r="K87" s="1240"/>
      <c r="L87" s="1240"/>
      <c r="M87" s="1240"/>
      <c r="N87" s="1240"/>
      <c r="O87" s="1240"/>
      <c r="P87" s="1240"/>
      <c r="Q87" s="1240"/>
      <c r="R87" s="1241"/>
      <c r="T87" s="1223" t="str"/>
      <c r="U87" s="1224"/>
      <c r="V87" s="1239" t="str"/>
      <c r="W87" s="1240"/>
      <c r="X87" s="1240"/>
      <c r="Y87" s="1240"/>
      <c r="Z87" s="1240"/>
      <c r="AA87" s="1240"/>
      <c r="AB87" s="1240"/>
      <c r="AC87" s="1240"/>
      <c r="AD87" s="1240"/>
      <c r="AE87" s="1240"/>
      <c r="AF87" s="1240"/>
      <c r="AG87" s="1240"/>
      <c r="AH87" s="1240"/>
      <c r="AI87" s="1240"/>
      <c r="AJ87" s="1241"/>
    </row>
    <row r="88" ht="18" customHeight="1">
      <c r="A88" s="1223" t="str"/>
      <c r="B88" s="1224"/>
      <c r="C88" s="1239" t="str"/>
      <c r="D88" s="1240"/>
      <c r="E88" s="1240"/>
      <c r="F88" s="1240"/>
      <c r="G88" s="1240"/>
      <c r="H88" s="1240"/>
      <c r="I88" s="1240"/>
      <c r="J88" s="1240"/>
      <c r="K88" s="1240"/>
      <c r="L88" s="1240"/>
      <c r="M88" s="1240"/>
      <c r="N88" s="1240"/>
      <c r="O88" s="1240"/>
      <c r="P88" s="1240"/>
      <c r="Q88" s="1240"/>
      <c r="R88" s="1241"/>
      <c r="T88" s="1223" t="str"/>
      <c r="U88" s="1224"/>
      <c r="V88" s="1239" t="str"/>
      <c r="W88" s="1240"/>
      <c r="X88" s="1240"/>
      <c r="Y88" s="1240"/>
      <c r="Z88" s="1240"/>
      <c r="AA88" s="1240"/>
      <c r="AB88" s="1240"/>
      <c r="AC88" s="1240"/>
      <c r="AD88" s="1240"/>
      <c r="AE88" s="1240"/>
      <c r="AF88" s="1240"/>
      <c r="AG88" s="1240"/>
      <c r="AH88" s="1240"/>
      <c r="AI88" s="1240"/>
      <c r="AJ88" s="1241"/>
    </row>
    <row r="89" ht="18" customHeight="1">
      <c r="A89" s="1223" t="str"/>
      <c r="B89" s="1224"/>
      <c r="C89" s="1239" t="str"/>
      <c r="D89" s="1240"/>
      <c r="E89" s="1240"/>
      <c r="F89" s="1240"/>
      <c r="G89" s="1240"/>
      <c r="H89" s="1240"/>
      <c r="I89" s="1240"/>
      <c r="J89" s="1240"/>
      <c r="K89" s="1240"/>
      <c r="L89" s="1240"/>
      <c r="M89" s="1240"/>
      <c r="N89" s="1240"/>
      <c r="O89" s="1240"/>
      <c r="P89" s="1240"/>
      <c r="Q89" s="1240"/>
      <c r="R89" s="1241"/>
      <c r="T89" s="1223" t="str"/>
      <c r="U89" s="1224"/>
      <c r="V89" s="1239" t="str"/>
      <c r="W89" s="1240"/>
      <c r="X89" s="1240"/>
      <c r="Y89" s="1240"/>
      <c r="Z89" s="1240"/>
      <c r="AA89" s="1240"/>
      <c r="AB89" s="1240"/>
      <c r="AC89" s="1240"/>
      <c r="AD89" s="1240"/>
      <c r="AE89" s="1240"/>
      <c r="AF89" s="1240"/>
      <c r="AG89" s="1240"/>
      <c r="AH89" s="1240"/>
      <c r="AI89" s="1240"/>
      <c r="AJ89" s="1241"/>
    </row>
    <row r="90" ht="18" customHeight="1">
      <c r="T90" s="1223" t="str"/>
      <c r="U90" s="1224"/>
      <c r="V90" s="1239" t="str"/>
      <c r="W90" s="1240"/>
      <c r="X90" s="1240"/>
      <c r="Y90" s="1240"/>
      <c r="Z90" s="1240"/>
      <c r="AA90" s="1240"/>
      <c r="AB90" s="1240"/>
      <c r="AC90" s="1240"/>
      <c r="AD90" s="1240"/>
      <c r="AE90" s="1240"/>
      <c r="AF90" s="1240"/>
      <c r="AG90" s="1240"/>
      <c r="AH90" s="1240"/>
      <c r="AI90" s="1240"/>
      <c r="AJ90" s="1241"/>
    </row>
    <row r="91" ht="18" customHeight="1">
      <c r="T91" s="1223" t="str"/>
      <c r="U91" s="1224"/>
      <c r="V91" s="1239" t="str"/>
      <c r="W91" s="1240"/>
      <c r="X91" s="1240"/>
      <c r="Y91" s="1240"/>
      <c r="Z91" s="1240"/>
      <c r="AA91" s="1240"/>
      <c r="AB91" s="1240"/>
      <c r="AC91" s="1240"/>
      <c r="AD91" s="1240"/>
      <c r="AE91" s="1240"/>
      <c r="AF91" s="1240"/>
      <c r="AG91" s="1240"/>
      <c r="AH91" s="1240"/>
      <c r="AI91" s="1240"/>
      <c r="AJ91" s="1241"/>
    </row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>
      <c r="AJ105"/>
    </row>
    <row r="106" ht="18" customHeight="1"/>
    <row r="107" ht="18" customHeight="1"/>
  </sheetData>
  <mergeCells>
    <mergeCell ref="A1:AJ2"/>
    <mergeCell ref="A3:H3"/>
    <mergeCell ref="A4:H6"/>
    <mergeCell ref="I3:P3"/>
    <mergeCell ref="I4:P6"/>
    <mergeCell ref="Q3:V3"/>
    <mergeCell ref="Q4:V6"/>
    <mergeCell ref="W3:AC3"/>
    <mergeCell ref="W4:AC6"/>
    <mergeCell ref="AD3:AJ3"/>
    <mergeCell ref="AD4:AJ6"/>
    <mergeCell ref="A8:R8"/>
    <mergeCell ref="A9:B9"/>
    <mergeCell ref="C9:R9"/>
    <mergeCell ref="A10:B10"/>
    <mergeCell ref="C10:R10"/>
    <mergeCell ref="A11:B11"/>
    <mergeCell ref="C11:R11"/>
    <mergeCell ref="A12:B12"/>
    <mergeCell ref="C12:R12"/>
    <mergeCell ref="A13:B13"/>
    <mergeCell ref="C13:R13"/>
    <mergeCell ref="A14:B14"/>
    <mergeCell ref="C14:R14"/>
    <mergeCell ref="A15:B15"/>
    <mergeCell ref="C15:R15"/>
    <mergeCell ref="A16:B16"/>
    <mergeCell ref="C16:R16"/>
    <mergeCell ref="A24:R24"/>
    <mergeCell ref="A25:F25"/>
    <mergeCell ref="G25:I25"/>
    <mergeCell ref="J25:O25"/>
    <mergeCell ref="P25:R25"/>
    <mergeCell ref="A26:B26"/>
    <mergeCell ref="C26:R26"/>
    <mergeCell ref="A27:B27"/>
    <mergeCell ref="C27:R27"/>
    <mergeCell ref="A28:B28"/>
    <mergeCell ref="C28:R28"/>
    <mergeCell ref="A29:B29"/>
    <mergeCell ref="C29:R29"/>
    <mergeCell ref="A30:B30"/>
    <mergeCell ref="C30:R30"/>
    <mergeCell ref="A31:B31"/>
    <mergeCell ref="C31:R31"/>
    <mergeCell ref="A32:B32"/>
    <mergeCell ref="C32:R32"/>
    <mergeCell ref="A33:B33"/>
    <mergeCell ref="C33:R33"/>
    <mergeCell ref="A34:B34"/>
    <mergeCell ref="C34:R34"/>
    <mergeCell ref="A35:B35"/>
    <mergeCell ref="C35:R35"/>
    <mergeCell ref="A42:R42"/>
    <mergeCell ref="A43:F43"/>
    <mergeCell ref="G43:I43"/>
    <mergeCell ref="J43:O43"/>
    <mergeCell ref="P43:R43"/>
    <mergeCell ref="A44:B44"/>
    <mergeCell ref="C44:R44"/>
    <mergeCell ref="A45:B45"/>
    <mergeCell ref="C45:R45"/>
    <mergeCell ref="A46:B46"/>
    <mergeCell ref="C46:R46"/>
    <mergeCell ref="A47:B47"/>
    <mergeCell ref="C47:R47"/>
    <mergeCell ref="A48:B48"/>
    <mergeCell ref="C48:R48"/>
    <mergeCell ref="A49:B49"/>
    <mergeCell ref="C49:R49"/>
    <mergeCell ref="A50:B50"/>
    <mergeCell ref="C50:R50"/>
    <mergeCell ref="A51:B51"/>
    <mergeCell ref="C51:R51"/>
    <mergeCell ref="A52:B52"/>
    <mergeCell ref="C52:R52"/>
    <mergeCell ref="A53:B53"/>
    <mergeCell ref="C53:R53"/>
    <mergeCell ref="A60:R60"/>
    <mergeCell ref="A61:F61"/>
    <mergeCell ref="G61:I61"/>
    <mergeCell ref="J61:O61"/>
    <mergeCell ref="P61:R61"/>
    <mergeCell ref="A62:B62"/>
    <mergeCell ref="C62:R62"/>
    <mergeCell ref="A63:B63"/>
    <mergeCell ref="C63:R63"/>
    <mergeCell ref="A64:B64"/>
    <mergeCell ref="C64:R64"/>
    <mergeCell ref="A65:B65"/>
    <mergeCell ref="C65:R65"/>
    <mergeCell ref="A66:B66"/>
    <mergeCell ref="C66:R66"/>
    <mergeCell ref="A67:B67"/>
    <mergeCell ref="C67:R67"/>
    <mergeCell ref="A68:B68"/>
    <mergeCell ref="C68:R68"/>
    <mergeCell ref="A69:B69"/>
    <mergeCell ref="C69:R69"/>
    <mergeCell ref="A70:B70"/>
    <mergeCell ref="C70:R70"/>
    <mergeCell ref="A71:B71"/>
    <mergeCell ref="C71:R71"/>
    <mergeCell ref="A78:R78"/>
    <mergeCell ref="A79:F79"/>
    <mergeCell ref="G79:I79"/>
    <mergeCell ref="J79:O79"/>
    <mergeCell ref="P79:R79"/>
    <mergeCell ref="A80:B80"/>
    <mergeCell ref="C80:R80"/>
    <mergeCell ref="A81:B81"/>
    <mergeCell ref="C81:R81"/>
    <mergeCell ref="A82:B82"/>
    <mergeCell ref="C82:R82"/>
    <mergeCell ref="A83:B83"/>
    <mergeCell ref="C83:R83"/>
    <mergeCell ref="A84:B84"/>
    <mergeCell ref="C84:R84"/>
    <mergeCell ref="A85:B85"/>
    <mergeCell ref="C85:R85"/>
    <mergeCell ref="A86:B86"/>
    <mergeCell ref="C86:R86"/>
    <mergeCell ref="A87:B87"/>
    <mergeCell ref="C87:R87"/>
    <mergeCell ref="A88:B88"/>
    <mergeCell ref="C88:R88"/>
    <mergeCell ref="A89:B89"/>
    <mergeCell ref="C89:R89"/>
    <mergeCell ref="T8:AJ8"/>
    <mergeCell ref="T9:Y9"/>
    <mergeCell ref="Z9:AB9"/>
    <mergeCell ref="AC9:AH9"/>
    <mergeCell ref="AI9:AJ9"/>
    <mergeCell ref="T10:U10"/>
    <mergeCell ref="V10:AJ10"/>
    <mergeCell ref="T11:U11"/>
    <mergeCell ref="V11:AJ11"/>
    <mergeCell ref="T12:U12"/>
    <mergeCell ref="V12:AJ12"/>
    <mergeCell ref="T13:U13"/>
    <mergeCell ref="V13:AJ13"/>
    <mergeCell ref="T14:U14"/>
    <mergeCell ref="V14:AJ14"/>
    <mergeCell ref="T15:U15"/>
    <mergeCell ref="V15:AJ15"/>
    <mergeCell ref="T16:U16"/>
    <mergeCell ref="V16:AJ16"/>
    <mergeCell ref="T17:U17"/>
    <mergeCell ref="V17:AJ17"/>
    <mergeCell ref="T18:U18"/>
    <mergeCell ref="V18:AJ18"/>
    <mergeCell ref="T19:U19"/>
    <mergeCell ref="V19:AJ19"/>
    <mergeCell ref="T26:AJ26"/>
    <mergeCell ref="T27:Y27"/>
    <mergeCell ref="Z27:AB27"/>
    <mergeCell ref="AC27:AH27"/>
    <mergeCell ref="AI27:AJ27"/>
    <mergeCell ref="T28:U28"/>
    <mergeCell ref="V28:AJ28"/>
    <mergeCell ref="T29:U29"/>
    <mergeCell ref="V29:AJ29"/>
    <mergeCell ref="T30:U30"/>
    <mergeCell ref="V30:AJ30"/>
    <mergeCell ref="T31:U31"/>
    <mergeCell ref="V31:AJ31"/>
    <mergeCell ref="T32:U32"/>
    <mergeCell ref="V32:AJ32"/>
    <mergeCell ref="T33:U33"/>
    <mergeCell ref="V33:AJ33"/>
    <mergeCell ref="T34:U34"/>
    <mergeCell ref="V34:AJ34"/>
    <mergeCell ref="T35:U35"/>
    <mergeCell ref="V35:AJ35"/>
    <mergeCell ref="T36:U36"/>
    <mergeCell ref="V36:AJ36"/>
    <mergeCell ref="T37:U37"/>
    <mergeCell ref="V37:AJ37"/>
    <mergeCell ref="T44:AJ44"/>
    <mergeCell ref="T45:Y45"/>
    <mergeCell ref="Z45:AB45"/>
    <mergeCell ref="AC45:AH45"/>
    <mergeCell ref="AI45:AJ45"/>
    <mergeCell ref="T46:U46"/>
    <mergeCell ref="V46:AJ46"/>
    <mergeCell ref="T47:U47"/>
    <mergeCell ref="V47:AJ47"/>
    <mergeCell ref="T48:U48"/>
    <mergeCell ref="V48:AJ48"/>
    <mergeCell ref="T49:U49"/>
    <mergeCell ref="V49:AJ49"/>
    <mergeCell ref="T50:U50"/>
    <mergeCell ref="V50:AJ50"/>
    <mergeCell ref="T51:U51"/>
    <mergeCell ref="V51:AJ51"/>
    <mergeCell ref="T52:U52"/>
    <mergeCell ref="V52:AJ52"/>
    <mergeCell ref="T53:U53"/>
    <mergeCell ref="V53:AJ53"/>
    <mergeCell ref="T54:U54"/>
    <mergeCell ref="V54:AJ54"/>
    <mergeCell ref="T55:U55"/>
    <mergeCell ref="V55:AJ55"/>
    <mergeCell ref="T62:AJ62"/>
    <mergeCell ref="T63:Y63"/>
    <mergeCell ref="Z63:AB63"/>
    <mergeCell ref="AC63:AH63"/>
    <mergeCell ref="AI63:AJ63"/>
    <mergeCell ref="T64:U64"/>
    <mergeCell ref="V64:AJ64"/>
    <mergeCell ref="T65:U65"/>
    <mergeCell ref="V65:AJ65"/>
    <mergeCell ref="T66:U66"/>
    <mergeCell ref="V66:AJ66"/>
    <mergeCell ref="T67:U67"/>
    <mergeCell ref="V67:AJ67"/>
    <mergeCell ref="T68:U68"/>
    <mergeCell ref="V68:AJ68"/>
    <mergeCell ref="T69:U69"/>
    <mergeCell ref="V69:AJ69"/>
    <mergeCell ref="T70:U70"/>
    <mergeCell ref="V70:AJ70"/>
    <mergeCell ref="T71:U71"/>
    <mergeCell ref="V71:AJ71"/>
    <mergeCell ref="T72:U72"/>
    <mergeCell ref="V72:AJ72"/>
    <mergeCell ref="T73:U73"/>
    <mergeCell ref="V73:AJ73"/>
    <mergeCell ref="T80:AJ80"/>
    <mergeCell ref="T81:Y81"/>
    <mergeCell ref="Z81:AB81"/>
    <mergeCell ref="AC81:AH81"/>
    <mergeCell ref="AI81:AJ81"/>
    <mergeCell ref="T82:U82"/>
    <mergeCell ref="V82:AJ82"/>
    <mergeCell ref="T83:U83"/>
    <mergeCell ref="V83:AJ83"/>
    <mergeCell ref="T84:U84"/>
    <mergeCell ref="V84:AJ84"/>
    <mergeCell ref="T85:U85"/>
    <mergeCell ref="V85:AJ85"/>
    <mergeCell ref="T86:U86"/>
    <mergeCell ref="V86:AJ86"/>
    <mergeCell ref="T87:U87"/>
    <mergeCell ref="V87:AJ87"/>
    <mergeCell ref="T88:U88"/>
    <mergeCell ref="V88:AJ88"/>
    <mergeCell ref="T89:U89"/>
    <mergeCell ref="V89:AJ89"/>
    <mergeCell ref="T90:U90"/>
    <mergeCell ref="V90:AJ90"/>
    <mergeCell ref="T91:U91"/>
    <mergeCell ref="V91:AJ91"/>
  </mergeCells>
  <dataValidations count="99">
    <dataValidation type="list" sqref="Q4">
      <formula1>'配置数据'!$I$2:$I$7</formula1>
    </dataValidation>
    <dataValidation type="list" sqref="A9">
      <formula1>'配置数据'!$F$2:$F$3</formula1>
    </dataValidation>
    <dataValidation type="list" sqref="A10">
      <formula1>'配置数据'!$F$2:$F$3</formula1>
    </dataValidation>
    <dataValidation type="list" sqref="A11">
      <formula1>'配置数据'!$F$2:$F$3</formula1>
    </dataValidation>
    <dataValidation type="list" sqref="A12">
      <formula1>'配置数据'!$F$2:$F$3</formula1>
    </dataValidation>
    <dataValidation type="list" sqref="A13">
      <formula1>'配置数据'!$F$2:$F$3</formula1>
    </dataValidation>
    <dataValidation type="list" sqref="A14">
      <formula1>'配置数据'!$F$2:$F$3</formula1>
    </dataValidation>
    <dataValidation type="list" sqref="A15">
      <formula1>'配置数据'!$F$2:$F$3</formula1>
    </dataValidation>
    <dataValidation type="list" sqref="A16">
      <formula1>'配置数据'!$F$2:$F$3</formula1>
    </dataValidation>
    <dataValidation type="list" sqref="A26">
      <formula1>'配置数据'!$F$2:$F$3</formula1>
    </dataValidation>
    <dataValidation type="list" sqref="A27">
      <formula1>'配置数据'!$F$2:$F$3</formula1>
    </dataValidation>
    <dataValidation type="list" sqref="A28">
      <formula1>'配置数据'!$F$2:$F$3</formula1>
    </dataValidation>
    <dataValidation type="list" sqref="A29">
      <formula1>'配置数据'!$F$2:$F$3</formula1>
    </dataValidation>
    <dataValidation type="list" sqref="A30">
      <formula1>'配置数据'!$F$2:$F$3</formula1>
    </dataValidation>
    <dataValidation type="list" sqref="A31">
      <formula1>'配置数据'!$F$2:$F$3</formula1>
    </dataValidation>
    <dataValidation type="list" sqref="A32">
      <formula1>'配置数据'!$F$2:$F$3</formula1>
    </dataValidation>
    <dataValidation type="list" sqref="A33">
      <formula1>'配置数据'!$F$2:$F$3</formula1>
    </dataValidation>
    <dataValidation type="list" sqref="A34">
      <formula1>'配置数据'!$F$2:$F$3</formula1>
    </dataValidation>
    <dataValidation type="list" sqref="A35">
      <formula1>'配置数据'!$F$2:$F$3</formula1>
    </dataValidation>
    <dataValidation type="list" sqref="A44">
      <formula1>'配置数据'!$F$2:$F$3</formula1>
    </dataValidation>
    <dataValidation type="list" sqref="A45">
      <formula1>'配置数据'!$F$2:$F$3</formula1>
    </dataValidation>
    <dataValidation type="list" sqref="A46">
      <formula1>'配置数据'!$F$2:$F$3</formula1>
    </dataValidation>
    <dataValidation type="list" sqref="A47">
      <formula1>'配置数据'!$F$2:$F$3</formula1>
    </dataValidation>
    <dataValidation type="list" sqref="A48">
      <formula1>'配置数据'!$F$2:$F$3</formula1>
    </dataValidation>
    <dataValidation type="list" sqref="A49">
      <formula1>'配置数据'!$F$2:$F$3</formula1>
    </dataValidation>
    <dataValidation type="list" sqref="A50">
      <formula1>'配置数据'!$F$2:$F$3</formula1>
    </dataValidation>
    <dataValidation type="list" sqref="A51">
      <formula1>'配置数据'!$F$2:$F$3</formula1>
    </dataValidation>
    <dataValidation type="list" sqref="A52">
      <formula1>'配置数据'!$F$2:$F$3</formula1>
    </dataValidation>
    <dataValidation type="list" sqref="A53">
      <formula1>'配置数据'!$F$2:$F$3</formula1>
    </dataValidation>
    <dataValidation type="list" sqref="A62">
      <formula1>'配置数据'!$F$2:$F$3</formula1>
    </dataValidation>
    <dataValidation type="list" sqref="A63">
      <formula1>'配置数据'!$F$2:$F$3</formula1>
    </dataValidation>
    <dataValidation type="list" sqref="A64">
      <formula1>'配置数据'!$F$2:$F$3</formula1>
    </dataValidation>
    <dataValidation type="list" sqref="A65">
      <formula1>'配置数据'!$F$2:$F$3</formula1>
    </dataValidation>
    <dataValidation type="list" sqref="A66">
      <formula1>'配置数据'!$F$2:$F$3</formula1>
    </dataValidation>
    <dataValidation type="list" sqref="A67">
      <formula1>'配置数据'!$F$2:$F$3</formula1>
    </dataValidation>
    <dataValidation type="list" sqref="A68">
      <formula1>'配置数据'!$F$2:$F$3</formula1>
    </dataValidation>
    <dataValidation type="list" sqref="A69">
      <formula1>'配置数据'!$F$2:$F$3</formula1>
    </dataValidation>
    <dataValidation type="list" sqref="A70">
      <formula1>'配置数据'!$F$2:$F$3</formula1>
    </dataValidation>
    <dataValidation type="list" sqref="A71">
      <formula1>'配置数据'!$F$2:$F$3</formula1>
    </dataValidation>
    <dataValidation type="list" sqref="A80">
      <formula1>'配置数据'!$F$2:$F$3</formula1>
    </dataValidation>
    <dataValidation type="list" sqref="A81">
      <formula1>'配置数据'!$F$2:$F$3</formula1>
    </dataValidation>
    <dataValidation type="list" sqref="A82">
      <formula1>'配置数据'!$F$2:$F$3</formula1>
    </dataValidation>
    <dataValidation type="list" sqref="A83">
      <formula1>'配置数据'!$F$2:$F$3</formula1>
    </dataValidation>
    <dataValidation type="list" sqref="A84">
      <formula1>'配置数据'!$F$2:$F$3</formula1>
    </dataValidation>
    <dataValidation type="list" sqref="A85">
      <formula1>'配置数据'!$F$2:$F$3</formula1>
    </dataValidation>
    <dataValidation type="list" sqref="A86">
      <formula1>'配置数据'!$F$2:$F$3</formula1>
    </dataValidation>
    <dataValidation type="list" sqref="A87">
      <formula1>'配置数据'!$F$2:$F$3</formula1>
    </dataValidation>
    <dataValidation type="list" sqref="A88">
      <formula1>'配置数据'!$F$2:$F$3</formula1>
    </dataValidation>
    <dataValidation type="list" sqref="A89">
      <formula1>'配置数据'!$F$2:$F$3</formula1>
    </dataValidation>
    <dataValidation type="list" sqref="T10">
      <formula1>'配置数据'!$F$2:$F$3</formula1>
    </dataValidation>
    <dataValidation type="list" sqref="T11">
      <formula1>'配置数据'!$F$2:$F$3</formula1>
    </dataValidation>
    <dataValidation type="list" sqref="T12">
      <formula1>'配置数据'!$F$2:$F$3</formula1>
    </dataValidation>
    <dataValidation type="list" sqref="T13">
      <formula1>'配置数据'!$F$2:$F$3</formula1>
    </dataValidation>
    <dataValidation type="list" sqref="T14">
      <formula1>'配置数据'!$F$2:$F$3</formula1>
    </dataValidation>
    <dataValidation type="list" sqref="T15">
      <formula1>'配置数据'!$F$2:$F$3</formula1>
    </dataValidation>
    <dataValidation type="list" sqref="T16">
      <formula1>'配置数据'!$F$2:$F$3</formula1>
    </dataValidation>
    <dataValidation type="list" sqref="T17">
      <formula1>'配置数据'!$F$2:$F$3</formula1>
    </dataValidation>
    <dataValidation type="list" sqref="T18">
      <formula1>'配置数据'!$F$2:$F$3</formula1>
    </dataValidation>
    <dataValidation type="list" sqref="T19">
      <formula1>'配置数据'!$F$2:$F$3</formula1>
    </dataValidation>
    <dataValidation type="list" sqref="T28">
      <formula1>'配置数据'!$F$2:$F$3</formula1>
    </dataValidation>
    <dataValidation type="list" sqref="T29">
      <formula1>'配置数据'!$F$2:$F$3</formula1>
    </dataValidation>
    <dataValidation type="list" sqref="T30">
      <formula1>'配置数据'!$F$2:$F$3</formula1>
    </dataValidation>
    <dataValidation type="list" sqref="T31">
      <formula1>'配置数据'!$F$2:$F$3</formula1>
    </dataValidation>
    <dataValidation type="list" sqref="T32">
      <formula1>'配置数据'!$F$2:$F$3</formula1>
    </dataValidation>
    <dataValidation type="list" sqref="T33">
      <formula1>'配置数据'!$F$2:$F$3</formula1>
    </dataValidation>
    <dataValidation type="list" sqref="T34">
      <formula1>'配置数据'!$F$2:$F$3</formula1>
    </dataValidation>
    <dataValidation type="list" sqref="T35">
      <formula1>'配置数据'!$F$2:$F$3</formula1>
    </dataValidation>
    <dataValidation type="list" sqref="T36">
      <formula1>'配置数据'!$F$2:$F$3</formula1>
    </dataValidation>
    <dataValidation type="list" sqref="T37">
      <formula1>'配置数据'!$F$2:$F$3</formula1>
    </dataValidation>
    <dataValidation type="list" sqref="T46">
      <formula1>'配置数据'!$F$2:$F$3</formula1>
    </dataValidation>
    <dataValidation type="list" sqref="T47">
      <formula1>'配置数据'!$F$2:$F$3</formula1>
    </dataValidation>
    <dataValidation type="list" sqref="T48">
      <formula1>'配置数据'!$F$2:$F$3</formula1>
    </dataValidation>
    <dataValidation type="list" sqref="T49">
      <formula1>'配置数据'!$F$2:$F$3</formula1>
    </dataValidation>
    <dataValidation type="list" sqref="T50">
      <formula1>'配置数据'!$F$2:$F$3</formula1>
    </dataValidation>
    <dataValidation type="list" sqref="T51">
      <formula1>'配置数据'!$F$2:$F$3</formula1>
    </dataValidation>
    <dataValidation type="list" sqref="T52">
      <formula1>'配置数据'!$F$2:$F$3</formula1>
    </dataValidation>
    <dataValidation type="list" sqref="T53">
      <formula1>'配置数据'!$F$2:$F$3</formula1>
    </dataValidation>
    <dataValidation type="list" sqref="T54">
      <formula1>'配置数据'!$F$2:$F$3</formula1>
    </dataValidation>
    <dataValidation type="list" sqref="T55">
      <formula1>'配置数据'!$F$2:$F$3</formula1>
    </dataValidation>
    <dataValidation type="list" sqref="T64">
      <formula1>'配置数据'!$F$2:$F$3</formula1>
    </dataValidation>
    <dataValidation type="list" sqref="T65">
      <formula1>'配置数据'!$F$2:$F$3</formula1>
    </dataValidation>
    <dataValidation type="list" sqref="T66">
      <formula1>'配置数据'!$F$2:$F$3</formula1>
    </dataValidation>
    <dataValidation type="list" sqref="T67">
      <formula1>'配置数据'!$F$2:$F$3</formula1>
    </dataValidation>
    <dataValidation type="list" sqref="T68">
      <formula1>'配置数据'!$F$2:$F$3</formula1>
    </dataValidation>
    <dataValidation type="list" sqref="T69">
      <formula1>'配置数据'!$F$2:$F$3</formula1>
    </dataValidation>
    <dataValidation type="list" sqref="T70">
      <formula1>'配置数据'!$F$2:$F$3</formula1>
    </dataValidation>
    <dataValidation type="list" sqref="T71">
      <formula1>'配置数据'!$F$2:$F$3</formula1>
    </dataValidation>
    <dataValidation type="list" sqref="T72">
      <formula1>'配置数据'!$F$2:$F$3</formula1>
    </dataValidation>
    <dataValidation type="list" sqref="T73">
      <formula1>'配置数据'!$F$2:$F$3</formula1>
    </dataValidation>
    <dataValidation type="list" sqref="T82">
      <formula1>'配置数据'!$F$2:$F$3</formula1>
    </dataValidation>
    <dataValidation type="list" sqref="T83">
      <formula1>'配置数据'!$F$2:$F$3</formula1>
    </dataValidation>
    <dataValidation type="list" sqref="T84">
      <formula1>'配置数据'!$F$2:$F$3</formula1>
    </dataValidation>
    <dataValidation type="list" sqref="T85">
      <formula1>'配置数据'!$F$2:$F$3</formula1>
    </dataValidation>
    <dataValidation type="list" sqref="T86">
      <formula1>'配置数据'!$F$2:$F$3</formula1>
    </dataValidation>
    <dataValidation type="list" sqref="T87">
      <formula1>'配置数据'!$F$2:$F$3</formula1>
    </dataValidation>
    <dataValidation type="list" sqref="T88">
      <formula1>'配置数据'!$F$2:$F$3</formula1>
    </dataValidation>
    <dataValidation type="list" sqref="T89">
      <formula1>'配置数据'!$F$2:$F$3</formula1>
    </dataValidation>
    <dataValidation type="list" sqref="T90">
      <formula1>'配置数据'!$F$2:$F$3</formula1>
    </dataValidation>
    <dataValidation type="list" sqref="T91">
      <formula1>'配置数据'!$F$2:$F$3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18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8" max="8" width="18" hidden="0" customWidth="1"/>
    <col min="9" max="9" width="18" hidden="0" customWidth="1"/>
  </cols>
  <sheetData>
    <row r="1">
      <c r="A1" s="3" t="str">
        <v>职业</v>
      </c>
      <c r="B1" s="3" t="str">
        <v>种族</v>
      </c>
      <c r="C1" s="3" t="str">
        <v>背景</v>
      </c>
      <c r="D1" s="3" t="str">
        <v>阵营</v>
      </c>
      <c r="E1" s="3" t="str">
        <v>等级</v>
      </c>
      <c r="F1" s="3" t="str">
        <v>技能熟练标记</v>
      </c>
      <c r="H1" t="str">
        <v>豁免标记</v>
      </c>
      <c r="I1" t="str">
        <v>施法属性</v>
      </c>
    </row>
    <row r="2">
      <c r="A2" t="str">
        <v>野蛮人</v>
      </c>
      <c r="B2" t="str">
        <v>丘陵矮人</v>
      </c>
      <c r="C2" t="str">
        <v>侍僧</v>
      </c>
      <c r="D2" t="str">
        <v>守序善良</v>
      </c>
      <c r="E2" t="n">
        <v>1</v>
      </c>
      <c r="F2" t="str"/>
      <c r="H2" t="str"/>
      <c r="I2" t="str">
        <v>力量</v>
      </c>
    </row>
    <row r="3">
      <c r="A3" t="str">
        <v>吟游诗人</v>
      </c>
      <c r="B3" t="str">
        <v>山地矮人</v>
      </c>
      <c r="C3" t="str">
        <v>骗子</v>
      </c>
      <c r="D3" t="str">
        <v>中立善良</v>
      </c>
      <c r="E3" t="n">
        <v>2</v>
      </c>
      <c r="F3" t="str">
        <v>●</v>
      </c>
      <c r="H3" t="str">
        <v>●</v>
      </c>
      <c r="I3" t="str">
        <v>敏捷</v>
      </c>
    </row>
    <row r="4">
      <c r="A4" t="str">
        <v>牧师</v>
      </c>
      <c r="B4" t="str">
        <v>高等精灵</v>
      </c>
      <c r="C4" t="str">
        <v>罪犯</v>
      </c>
      <c r="D4" t="str">
        <v>混乱善良</v>
      </c>
      <c r="E4" t="n">
        <v>3</v>
      </c>
      <c r="F4" t="str">
        <v>◆</v>
      </c>
      <c r="I4" t="str">
        <v>体质</v>
      </c>
    </row>
    <row r="5">
      <c r="A5" t="str">
        <v>德鲁伊</v>
      </c>
      <c r="B5" t="str">
        <v>木精灵</v>
      </c>
      <c r="C5" t="str">
        <v>艺人</v>
      </c>
      <c r="D5" t="str">
        <v>守序中立</v>
      </c>
      <c r="E5" t="n">
        <v>4</v>
      </c>
      <c r="F5" t="str"/>
      <c r="I5" t="str">
        <v>智力</v>
      </c>
    </row>
    <row r="6">
      <c r="A6" t="str">
        <v>战士</v>
      </c>
      <c r="B6" t="str">
        <v>黑暗精灵</v>
      </c>
      <c r="C6" t="str">
        <v>平民英雄</v>
      </c>
      <c r="D6" t="str">
        <v>绝对中立</v>
      </c>
      <c r="E6" t="n">
        <v>5</v>
      </c>
      <c r="F6" t="str"/>
      <c r="I6" t="str">
        <v>感知</v>
      </c>
    </row>
    <row r="7">
      <c r="A7" t="str">
        <v>武僧</v>
      </c>
      <c r="B7" t="str">
        <v>轻足半身人</v>
      </c>
      <c r="C7" t="str">
        <v>公会工匠</v>
      </c>
      <c r="D7" t="str">
        <v>混乱中立</v>
      </c>
      <c r="E7" t="n">
        <v>6</v>
      </c>
      <c r="F7" t="str"/>
      <c r="I7" t="str">
        <v>魅力</v>
      </c>
    </row>
    <row r="8">
      <c r="A8" t="str">
        <v>圣武士</v>
      </c>
      <c r="B8" t="str">
        <v>壮心半身人</v>
      </c>
      <c r="C8" t="str">
        <v>隐士</v>
      </c>
      <c r="D8" t="str">
        <v>守序邪恶</v>
      </c>
      <c r="E8" t="n">
        <v>7</v>
      </c>
      <c r="F8" t="str"/>
    </row>
    <row r="9">
      <c r="A9" t="str">
        <v>游侠</v>
      </c>
      <c r="B9" t="str">
        <v>人类</v>
      </c>
      <c r="C9" t="str">
        <v>贵族</v>
      </c>
      <c r="D9" t="str">
        <v>中立邪恶</v>
      </c>
      <c r="E9" t="n">
        <v>8</v>
      </c>
      <c r="F9" t="str"/>
    </row>
    <row r="10">
      <c r="A10" t="str">
        <v>游荡者</v>
      </c>
      <c r="B10" t="str">
        <v>龙裔</v>
      </c>
      <c r="C10" t="str">
        <v>化外之民</v>
      </c>
      <c r="D10" t="str">
        <v>混乱邪恶</v>
      </c>
      <c r="E10" t="n">
        <v>9</v>
      </c>
      <c r="F10" t="str"/>
    </row>
    <row r="11">
      <c r="A11" t="str">
        <v>术士</v>
      </c>
      <c r="B11" t="str">
        <v>森林侏儒</v>
      </c>
      <c r="C11" t="str">
        <v>智者</v>
      </c>
      <c r="D11" t="str">
        <v>无阵营</v>
      </c>
      <c r="E11" t="n">
        <v>10</v>
      </c>
      <c r="F11" t="str"/>
    </row>
    <row r="12">
      <c r="A12" t="str">
        <v>邪术师</v>
      </c>
      <c r="B12" t="str">
        <v>岩侏儒</v>
      </c>
      <c r="C12" t="str">
        <v>水手</v>
      </c>
      <c r="D12" t="str"/>
      <c r="E12" t="n">
        <v>11</v>
      </c>
      <c r="F12" t="str"/>
    </row>
    <row r="13">
      <c r="A13" t="str">
        <v>法师</v>
      </c>
      <c r="B13" t="str">
        <v>半精灵</v>
      </c>
      <c r="C13" t="str">
        <v>士兵</v>
      </c>
      <c r="D13" t="str"/>
      <c r="E13" t="n">
        <v>12</v>
      </c>
      <c r="F13" t="str"/>
    </row>
    <row r="14">
      <c r="A14" t="str">
        <v>自定义</v>
      </c>
      <c r="B14" t="str">
        <v>半兽人</v>
      </c>
      <c r="C14" t="str">
        <v>流浪儿</v>
      </c>
      <c r="D14" t="str"/>
      <c r="E14" t="n">
        <v>13</v>
      </c>
      <c r="F14" t="str"/>
    </row>
    <row r="15">
      <c r="A15" t="str"/>
      <c r="B15" t="str">
        <v>提夫林</v>
      </c>
      <c r="C15" t="str">
        <v>自定义</v>
      </c>
      <c r="D15" t="str"/>
      <c r="E15" t="n">
        <v>14</v>
      </c>
      <c r="F15" t="str"/>
    </row>
    <row r="16">
      <c r="A16" t="str"/>
      <c r="B16" t="str">
        <v>自定义</v>
      </c>
      <c r="C16" t="str"/>
      <c r="D16" t="str"/>
      <c r="E16" t="n">
        <v>15</v>
      </c>
      <c r="F16" t="str"/>
    </row>
    <row r="17">
      <c r="A17" t="str"/>
      <c r="B17" t="str"/>
      <c r="C17" t="str"/>
      <c r="D17" t="str"/>
      <c r="E17" t="n">
        <v>16</v>
      </c>
      <c r="F17" t="str"/>
    </row>
    <row r="18">
      <c r="A18" t="str"/>
      <c r="B18" t="str"/>
      <c r="C18" t="str"/>
      <c r="D18" t="str"/>
      <c r="E18" t="n">
        <v>17</v>
      </c>
      <c r="F18" t="str"/>
    </row>
    <row r="19">
      <c r="A19" t="str"/>
      <c r="B19" t="str"/>
      <c r="C19" t="str"/>
      <c r="D19" t="str"/>
      <c r="E19" t="n">
        <v>18</v>
      </c>
      <c r="F19" t="str"/>
    </row>
    <row r="20">
      <c r="A20" t="str"/>
      <c r="B20" t="str"/>
      <c r="C20" t="str"/>
      <c r="D20" t="str"/>
      <c r="E20" t="n">
        <v>19</v>
      </c>
      <c r="F20" t="str"/>
    </row>
    <row r="21">
      <c r="A21" t="str"/>
      <c r="B21" t="str"/>
      <c r="C21" t="str"/>
      <c r="D21" t="str"/>
      <c r="E21" t="n">
        <v>20</v>
      </c>
      <c r="F21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34" hidden="0" customWidth="1"/>
    <col min="2" max="2" width="14" hidden="0" customWidth="1"/>
    <col min="3" max="3" width="16" hidden="0" customWidth="1"/>
    <col min="4" max="4" width="42" hidden="0" customWidth="1"/>
  </cols>
  <sheetData>
    <row r="1">
      <c r="A1" s="1250" t="str">
        <v>字段 Key</v>
      </c>
      <c r="B1" s="1250" t="str">
        <v>工作表</v>
      </c>
      <c r="C1" s="1250" t="str">
        <v>目标单元格</v>
      </c>
      <c r="D1" s="1250" t="str">
        <v>说明</v>
      </c>
      <c r="E1" t="str">
        <v>字段类型</v>
      </c>
      <c r="F1" t="str">
        <v>必需级别</v>
      </c>
      <c r="H1" t="str">
        <v>模板版本</v>
      </c>
      <c r="I1" t="n">
        <v>4</v>
      </c>
    </row>
    <row r="2">
      <c r="A2" s="1252" t="str">
        <v>character_name</v>
      </c>
      <c r="B2" s="1252" t="str">
        <v>角色卡</v>
      </c>
      <c r="C2" s="1252" t="str">
        <v>A4</v>
      </c>
      <c r="D2" s="1252" t="str">
        <v>角色名</v>
      </c>
      <c r="E2" t="str">
        <v>input</v>
      </c>
      <c r="F2" t="str">
        <v>required</v>
      </c>
    </row>
    <row r="3">
      <c r="A3" s="1252" t="str">
        <v>class_name</v>
      </c>
      <c r="B3" s="1252" t="str">
        <v>角色卡</v>
      </c>
      <c r="C3" s="1252" t="str">
        <v>K4</v>
      </c>
      <c r="D3" s="1252" t="str">
        <v>职业</v>
      </c>
      <c r="E3" t="str">
        <v>input</v>
      </c>
      <c r="F3" t="str">
        <v>required</v>
      </c>
    </row>
    <row r="4">
      <c r="A4" s="1252" t="str">
        <v>race</v>
      </c>
      <c r="B4" s="1252" t="str">
        <v>角色卡</v>
      </c>
      <c r="C4" s="1252" t="str">
        <v>S4</v>
      </c>
      <c r="D4" s="1252" t="str">
        <v>种族</v>
      </c>
      <c r="E4" t="str">
        <v>input</v>
      </c>
      <c r="F4" t="str">
        <v>required</v>
      </c>
    </row>
    <row r="5">
      <c r="A5" s="1252" t="str">
        <v>background</v>
      </c>
      <c r="B5" s="1252" t="str">
        <v>角色卡</v>
      </c>
      <c r="C5" s="1252" t="str">
        <v>AA4</v>
      </c>
      <c r="D5" s="1252" t="str">
        <v>背景</v>
      </c>
      <c r="E5" t="str">
        <v>input</v>
      </c>
      <c r="F5" t="str">
        <v>required</v>
      </c>
    </row>
    <row r="6">
      <c r="A6" s="1252" t="str">
        <v>level</v>
      </c>
      <c r="B6" s="1252" t="str">
        <v>角色卡</v>
      </c>
      <c r="C6" s="1252" t="str">
        <v>AG4</v>
      </c>
      <c r="D6" s="1252" t="str">
        <v>等级</v>
      </c>
      <c r="E6" t="str">
        <v>input</v>
      </c>
      <c r="F6" t="str">
        <v>required</v>
      </c>
    </row>
    <row r="7">
      <c r="A7" s="1252" t="str">
        <v>player_name</v>
      </c>
      <c r="B7" s="1252" t="str">
        <v>角色卡</v>
      </c>
      <c r="C7" s="1252" t="str">
        <v>A8</v>
      </c>
      <c r="D7" s="1252" t="str">
        <v>玩家名</v>
      </c>
      <c r="E7" t="str">
        <v>input</v>
      </c>
      <c r="F7" t="str">
        <v>optional</v>
      </c>
    </row>
    <row r="8">
      <c r="A8" s="1252" t="str">
        <v>alignment</v>
      </c>
      <c r="B8" s="1252" t="str">
        <v>角色卡</v>
      </c>
      <c r="C8" s="1252" t="str">
        <v>I8</v>
      </c>
      <c r="D8" s="1252" t="str">
        <v>阵营</v>
      </c>
      <c r="E8" t="str">
        <v>input</v>
      </c>
      <c r="F8" t="str">
        <v>required</v>
      </c>
    </row>
    <row r="9">
      <c r="A9" s="1252" t="str">
        <v>experience</v>
      </c>
      <c r="B9" s="1252" t="str">
        <v>角色卡</v>
      </c>
      <c r="C9" s="1252" t="str">
        <v>O8</v>
      </c>
      <c r="D9" s="1252" t="str">
        <v>经验值</v>
      </c>
      <c r="E9" t="str">
        <v>input</v>
      </c>
      <c r="F9" t="str">
        <v>required</v>
      </c>
    </row>
    <row r="10">
      <c r="A10" s="1252" t="str">
        <v>age</v>
      </c>
      <c r="B10" s="1252" t="str">
        <v>角色卡</v>
      </c>
      <c r="C10" s="1252" t="str">
        <v>U8</v>
      </c>
      <c r="D10" s="1252" t="str">
        <v>年龄</v>
      </c>
      <c r="E10" t="str">
        <v>input</v>
      </c>
      <c r="F10" t="str">
        <v>optional</v>
      </c>
    </row>
    <row r="11">
      <c r="A11" s="1252" t="str">
        <v>gender</v>
      </c>
      <c r="B11" s="1252" t="str">
        <v>角色卡</v>
      </c>
      <c r="C11" s="1252" t="str">
        <v>AA8</v>
      </c>
      <c r="D11" s="1252" t="str">
        <v>性别</v>
      </c>
      <c r="E11" t="str">
        <v>input</v>
      </c>
      <c r="F11" t="str">
        <v>optional</v>
      </c>
    </row>
    <row r="12">
      <c r="A12" s="1252" t="str">
        <v>height</v>
      </c>
      <c r="B12" s="1252" t="str">
        <v>角色卡</v>
      </c>
      <c r="C12" s="1252" t="str">
        <v>AE8</v>
      </c>
      <c r="D12" s="1252" t="str">
        <v>身高</v>
      </c>
      <c r="E12" t="str">
        <v>input</v>
      </c>
      <c r="F12" t="str">
        <v>optional</v>
      </c>
    </row>
    <row r="13">
      <c r="A13" s="1252" t="str">
        <v>weight</v>
      </c>
      <c r="B13" s="1252" t="str">
        <v>角色卡</v>
      </c>
      <c r="C13" s="1252" t="str">
        <v>AH8</v>
      </c>
      <c r="D13" s="1252" t="str">
        <v>体重</v>
      </c>
      <c r="E13" t="str">
        <v>input</v>
      </c>
      <c r="F13" t="str">
        <v>optional</v>
      </c>
    </row>
    <row r="14">
      <c r="A14" s="1252" t="str">
        <v>armor_class</v>
      </c>
      <c r="B14" s="1252" t="str">
        <v>角色卡</v>
      </c>
      <c r="C14" s="1252" t="str">
        <v>R17</v>
      </c>
      <c r="D14" s="1252" t="str">
        <v>护甲等级</v>
      </c>
      <c r="E14" t="str">
        <v>input</v>
      </c>
      <c r="F14" t="str">
        <v>required</v>
      </c>
    </row>
    <row r="15">
      <c r="A15" s="1252" t="str">
        <v>speed</v>
      </c>
      <c r="B15" s="1252" t="str">
        <v>角色卡</v>
      </c>
      <c r="C15" s="1252" t="str">
        <v>V17</v>
      </c>
      <c r="D15" s="1252" t="str">
        <v>速度</v>
      </c>
      <c r="E15" t="str">
        <v>input</v>
      </c>
      <c r="F15" t="str">
        <v>required</v>
      </c>
    </row>
    <row r="16">
      <c r="A16" s="1252" t="str">
        <v>hp_max</v>
      </c>
      <c r="B16" s="1252" t="str">
        <v>角色卡</v>
      </c>
      <c r="C16" s="1252" t="str">
        <v>R24</v>
      </c>
      <c r="D16" s="1252" t="str">
        <v>生命值上限</v>
      </c>
      <c r="E16" t="str">
        <v>input</v>
      </c>
      <c r="F16" t="str">
        <v>required</v>
      </c>
    </row>
    <row r="17">
      <c r="A17" s="1252" t="str">
        <v>hp_current</v>
      </c>
      <c r="B17" s="1252" t="str">
        <v>角色卡</v>
      </c>
      <c r="C17" s="1252" t="str">
        <v>U24</v>
      </c>
      <c r="D17" s="1252" t="str">
        <v>当前生命值</v>
      </c>
      <c r="E17" t="str">
        <v>input</v>
      </c>
      <c r="F17" t="str">
        <v>required</v>
      </c>
    </row>
    <row r="18">
      <c r="A18" s="1252" t="str">
        <v>hp_temp</v>
      </c>
      <c r="B18" s="1252" t="str">
        <v>角色卡</v>
      </c>
      <c r="C18" s="1252" t="str">
        <v>X24</v>
      </c>
      <c r="D18" s="1252" t="str">
        <v>临时生命值</v>
      </c>
      <c r="E18" t="str">
        <v>input</v>
      </c>
      <c r="F18" t="str">
        <v>required</v>
      </c>
    </row>
    <row r="19">
      <c r="A19" s="1252" t="str">
        <v>hit_dice</v>
      </c>
      <c r="B19" s="1252" t="str">
        <v>角色卡</v>
      </c>
      <c r="C19" s="1252" t="str">
        <v>R31</v>
      </c>
      <c r="D19" s="1252" t="str">
        <v>生命骰</v>
      </c>
      <c r="E19" t="str">
        <v>input</v>
      </c>
      <c r="F19" t="str">
        <v>required</v>
      </c>
    </row>
    <row r="20">
      <c r="A20" s="1252" t="str">
        <v>inspiration</v>
      </c>
      <c r="B20" s="1252" t="str">
        <v>角色卡</v>
      </c>
      <c r="C20" s="1252" t="str">
        <v>V31</v>
      </c>
      <c r="D20" s="1252" t="str">
        <v>激励</v>
      </c>
      <c r="E20" t="str">
        <v>input</v>
      </c>
      <c r="F20" t="str">
        <v>optional</v>
      </c>
    </row>
    <row r="21">
      <c r="A21" s="1252" t="str">
        <v>death_successes</v>
      </c>
      <c r="B21" s="1252" t="str">
        <v>角色卡</v>
      </c>
      <c r="C21" s="1252" t="str">
        <v>R38</v>
      </c>
      <c r="D21" s="1252" t="str">
        <v>死亡豁免成功</v>
      </c>
      <c r="E21" t="str">
        <v>input</v>
      </c>
      <c r="F21" t="str">
        <v>optional</v>
      </c>
    </row>
    <row r="22">
      <c r="A22" s="1252" t="str">
        <v>death_failures</v>
      </c>
      <c r="B22" s="1252" t="str">
        <v>角色卡</v>
      </c>
      <c r="C22" s="1252" t="str">
        <v>V38</v>
      </c>
      <c r="D22" s="1252" t="str">
        <v>死亡豁免失败</v>
      </c>
      <c r="E22" t="str">
        <v>input</v>
      </c>
      <c r="F22" t="str">
        <v>optional</v>
      </c>
    </row>
    <row r="23">
      <c r="A23" s="1252" t="str">
        <v>other_proficiencies_languages</v>
      </c>
      <c r="B23" s="1252" t="str">
        <v>角色卡</v>
      </c>
      <c r="C23" s="1252" t="str">
        <v>A60</v>
      </c>
      <c r="D23" s="1252" t="str">
        <v>其他熟练项与语言</v>
      </c>
      <c r="E23" t="str">
        <v>input</v>
      </c>
      <c r="F23" t="str">
        <v>required</v>
      </c>
    </row>
    <row r="24">
      <c r="A24" s="1252" t="str">
        <v>features_traits</v>
      </c>
      <c r="B24" s="1252" t="str">
        <v>角色卡</v>
      </c>
      <c r="C24" s="1252" t="str">
        <v>R43</v>
      </c>
      <c r="D24" s="1252" t="str">
        <v>特性专长与资源</v>
      </c>
      <c r="E24" t="str">
        <v>input</v>
      </c>
      <c r="F24" t="str">
        <v>required</v>
      </c>
    </row>
    <row r="25">
      <c r="A25" s="1252" t="str">
        <v>personality_traits</v>
      </c>
      <c r="B25" s="1252" t="str">
        <v>角色卡</v>
      </c>
      <c r="C25" s="1252" t="str">
        <v>Z12</v>
      </c>
      <c r="D25" s="1252" t="str">
        <v>个性特征</v>
      </c>
      <c r="E25" t="str">
        <v>input</v>
      </c>
      <c r="F25" t="str">
        <v>optional</v>
      </c>
    </row>
    <row r="26">
      <c r="A26" s="1252" t="str">
        <v>ideals</v>
      </c>
      <c r="B26" s="1252" t="str">
        <v>角色卡</v>
      </c>
      <c r="C26" s="1252" t="str">
        <v>Z24</v>
      </c>
      <c r="D26" s="1252" t="str">
        <v>理想</v>
      </c>
      <c r="E26" t="str">
        <v>input</v>
      </c>
      <c r="F26" t="str">
        <v>optional</v>
      </c>
    </row>
    <row r="27">
      <c r="A27" s="1252" t="str">
        <v>bonds</v>
      </c>
      <c r="B27" s="1252" t="str">
        <v>角色卡</v>
      </c>
      <c r="C27" s="1252" t="str">
        <v>Z36</v>
      </c>
      <c r="D27" s="1252" t="str">
        <v>羁绊</v>
      </c>
      <c r="E27" t="str">
        <v>input</v>
      </c>
      <c r="F27" t="str">
        <v>optional</v>
      </c>
    </row>
    <row r="28">
      <c r="A28" s="1252" t="str">
        <v>flaws</v>
      </c>
      <c r="B28" s="1252" t="str">
        <v>角色卡</v>
      </c>
      <c r="C28" s="1252" t="str">
        <v>Z48</v>
      </c>
      <c r="D28" s="1252" t="str">
        <v>缺点</v>
      </c>
      <c r="E28" t="str">
        <v>input</v>
      </c>
      <c r="F28" t="str">
        <v>optional</v>
      </c>
    </row>
    <row r="29">
      <c r="A29" s="1252" t="str">
        <v>equipment</v>
      </c>
      <c r="B29" s="1252" t="str">
        <v>角色卡</v>
      </c>
      <c r="C29" s="1252" t="str">
        <v>J60</v>
      </c>
      <c r="D29" s="1252" t="str">
        <v>装备/随身物品</v>
      </c>
      <c r="E29" t="str">
        <v>input</v>
      </c>
      <c r="F29" t="str">
        <v>required</v>
      </c>
    </row>
    <row r="30">
      <c r="A30" s="1252" t="str">
        <v>armor_treasure</v>
      </c>
      <c r="B30" s="1252" t="str">
        <v>角色卡</v>
      </c>
      <c r="C30" s="1252" t="str">
        <v>Z74</v>
      </c>
      <c r="D30" s="1252" t="str">
        <v>护甲装备财宝</v>
      </c>
      <c r="E30" t="str">
        <v>input</v>
      </c>
      <c r="F30" t="str">
        <v>optional</v>
      </c>
    </row>
    <row r="31">
      <c r="A31" s="1252" t="str">
        <v>appearance</v>
      </c>
      <c r="B31" s="1252" t="str">
        <v>人物资料</v>
      </c>
      <c r="C31" s="1252" t="str">
        <v>A9</v>
      </c>
      <c r="D31" s="1252" t="str">
        <v>外貌描述</v>
      </c>
      <c r="E31" t="str">
        <v>input</v>
      </c>
      <c r="F31" t="str">
        <v>optional</v>
      </c>
    </row>
    <row r="32">
      <c r="A32" s="1252" t="str">
        <v>backstory</v>
      </c>
      <c r="B32" s="1252" t="str">
        <v>人物资料</v>
      </c>
      <c r="C32" s="1252" t="str">
        <v>N9</v>
      </c>
      <c r="D32" s="1252" t="str">
        <v>背景故事</v>
      </c>
      <c r="E32" t="str">
        <v>input</v>
      </c>
      <c r="F32" t="str">
        <v>optional</v>
      </c>
    </row>
    <row r="33">
      <c r="A33" s="1252" t="str">
        <v>allies_organizations</v>
      </c>
      <c r="B33" s="1252" t="str">
        <v>人物资料</v>
      </c>
      <c r="C33" s="1252" t="str">
        <v>A39</v>
      </c>
      <c r="D33" s="1252" t="str">
        <v>同盟与组织</v>
      </c>
      <c r="E33" t="str">
        <v>input</v>
      </c>
      <c r="F33" t="str">
        <v>optional</v>
      </c>
    </row>
    <row r="34">
      <c r="A34" s="1252" t="str">
        <v>additional_features</v>
      </c>
      <c r="B34" s="1252" t="str">
        <v>人物资料</v>
      </c>
      <c r="C34" s="1252" t="str">
        <v>N39</v>
      </c>
      <c r="D34" s="1252" t="str">
        <v>额外特性与经历</v>
      </c>
      <c r="E34" t="str">
        <v>input</v>
      </c>
      <c r="F34" t="str">
        <v>optional</v>
      </c>
    </row>
    <row r="35">
      <c r="A35" s="1252" t="str">
        <v>treasure_notes</v>
      </c>
      <c r="B35" s="1252" t="str">
        <v>人物资料</v>
      </c>
      <c r="C35" s="1252" t="str">
        <v>A58</v>
      </c>
      <c r="D35" s="1252" t="str">
        <v>财宝重要物品备注</v>
      </c>
      <c r="E35" t="str">
        <v>input</v>
      </c>
      <c r="F35" t="str">
        <v>optional</v>
      </c>
    </row>
    <row r="36">
      <c r="A36" s="1252" t="str">
        <v>spellcasting_class</v>
      </c>
      <c r="B36" s="1252" t="str">
        <v>法术卡</v>
      </c>
      <c r="C36" s="1252" t="str">
        <v>I4</v>
      </c>
      <c r="D36" s="1252" t="str">
        <v>施法职业</v>
      </c>
      <c r="E36" t="str">
        <v>input</v>
      </c>
      <c r="F36" t="str">
        <v>optional</v>
      </c>
    </row>
    <row r="37">
      <c r="A37" s="1252" t="str">
        <v>spellcasting_ability</v>
      </c>
      <c r="B37" s="1252" t="str">
        <v>法术卡</v>
      </c>
      <c r="C37" s="1252" t="str">
        <v>Q4</v>
      </c>
      <c r="D37" s="1252" t="str">
        <v>施法关键属性</v>
      </c>
      <c r="E37" t="str">
        <v>input</v>
      </c>
      <c r="F37" t="str">
        <v>optional</v>
      </c>
    </row>
    <row r="38">
      <c r="A38" s="1252" t="str">
        <v>str_score</v>
      </c>
      <c r="B38" s="1252" t="str">
        <v>角色卡</v>
      </c>
      <c r="C38" s="1252" t="str">
        <v>A12</v>
      </c>
      <c r="D38" s="1252" t="str">
        <v>STR 属性值</v>
      </c>
      <c r="E38" t="str">
        <v>input</v>
      </c>
      <c r="F38" t="str">
        <v>required</v>
      </c>
    </row>
    <row r="39">
      <c r="A39" s="1252" t="str">
        <v>dex_score</v>
      </c>
      <c r="B39" s="1252" t="str">
        <v>角色卡</v>
      </c>
      <c r="C39" s="1252" t="str">
        <v>A19</v>
      </c>
      <c r="D39" s="1252" t="str">
        <v>DEX 属性值</v>
      </c>
      <c r="E39" t="str">
        <v>input</v>
      </c>
      <c r="F39" t="str">
        <v>required</v>
      </c>
    </row>
    <row r="40">
      <c r="A40" s="1252" t="str">
        <v>con_score</v>
      </c>
      <c r="B40" s="1252" t="str">
        <v>角色卡</v>
      </c>
      <c r="C40" s="1252" t="str">
        <v>A26</v>
      </c>
      <c r="D40" s="1252" t="str">
        <v>CON 属性值</v>
      </c>
      <c r="E40" t="str">
        <v>input</v>
      </c>
      <c r="F40" t="str">
        <v>required</v>
      </c>
    </row>
    <row r="41">
      <c r="A41" s="1252" t="str">
        <v>int_score</v>
      </c>
      <c r="B41" s="1252" t="str">
        <v>角色卡</v>
      </c>
      <c r="C41" s="1252" t="str">
        <v>A33</v>
      </c>
      <c r="D41" s="1252" t="str">
        <v>INT 属性值</v>
      </c>
      <c r="E41" t="str">
        <v>input</v>
      </c>
      <c r="F41" t="str">
        <v>required</v>
      </c>
    </row>
    <row r="42">
      <c r="A42" s="1252" t="str">
        <v>wis_score</v>
      </c>
      <c r="B42" s="1252" t="str">
        <v>角色卡</v>
      </c>
      <c r="C42" s="1252" t="str">
        <v>A40</v>
      </c>
      <c r="D42" s="1252" t="str">
        <v>WIS 属性值</v>
      </c>
      <c r="E42" t="str">
        <v>input</v>
      </c>
      <c r="F42" t="str">
        <v>required</v>
      </c>
    </row>
    <row r="43">
      <c r="A43" s="1252" t="str">
        <v>cha_score</v>
      </c>
      <c r="B43" s="1252" t="str">
        <v>角色卡</v>
      </c>
      <c r="C43" s="1252" t="str">
        <v>A47</v>
      </c>
      <c r="D43" s="1252" t="str">
        <v>CHA 属性值</v>
      </c>
      <c r="E43" t="str">
        <v>input</v>
      </c>
      <c r="F43" t="str">
        <v>required</v>
      </c>
    </row>
    <row r="44">
      <c r="A44" s="1252" t="str">
        <v>save_str_prof</v>
      </c>
      <c r="B44" s="1252" t="str">
        <v>角色卡</v>
      </c>
      <c r="C44" s="1252" t="str">
        <v>J11</v>
      </c>
      <c r="D44" s="1252" t="str">
        <v>力量豁免熟练标记</v>
      </c>
      <c r="E44" t="str">
        <v>input</v>
      </c>
      <c r="F44" t="str">
        <v>optional</v>
      </c>
    </row>
    <row r="45">
      <c r="A45" s="1252" t="str">
        <v>save_dex_prof</v>
      </c>
      <c r="B45" s="1252" t="str">
        <v>角色卡</v>
      </c>
      <c r="C45" s="1252" t="str">
        <v>J13</v>
      </c>
      <c r="D45" s="1252" t="str">
        <v>敏捷豁免熟练标记</v>
      </c>
      <c r="E45" t="str">
        <v>input</v>
      </c>
      <c r="F45" t="str">
        <v>optional</v>
      </c>
    </row>
    <row r="46">
      <c r="A46" s="1252" t="str">
        <v>save_con_prof</v>
      </c>
      <c r="B46" s="1252" t="str">
        <v>角色卡</v>
      </c>
      <c r="C46" s="1252" t="str">
        <v>J15</v>
      </c>
      <c r="D46" s="1252" t="str">
        <v>体质豁免熟练标记</v>
      </c>
      <c r="E46" t="str">
        <v>input</v>
      </c>
      <c r="F46" t="str">
        <v>optional</v>
      </c>
    </row>
    <row r="47">
      <c r="A47" s="1252" t="str">
        <v>save_int_prof</v>
      </c>
      <c r="B47" s="1252" t="str">
        <v>角色卡</v>
      </c>
      <c r="C47" s="1252" t="str">
        <v>J17</v>
      </c>
      <c r="D47" s="1252" t="str">
        <v>智力豁免熟练标记</v>
      </c>
      <c r="E47" t="str">
        <v>input</v>
      </c>
      <c r="F47" t="str">
        <v>optional</v>
      </c>
    </row>
    <row r="48">
      <c r="A48" s="1252" t="str">
        <v>save_wis_prof</v>
      </c>
      <c r="B48" s="1252" t="str">
        <v>角色卡</v>
      </c>
      <c r="C48" s="1252" t="str">
        <v>J19</v>
      </c>
      <c r="D48" s="1252" t="str">
        <v>感知豁免熟练标记</v>
      </c>
      <c r="E48" t="str">
        <v>input</v>
      </c>
      <c r="F48" t="str">
        <v>optional</v>
      </c>
    </row>
    <row r="49">
      <c r="A49" s="1252" t="str">
        <v>save_cha_prof</v>
      </c>
      <c r="B49" s="1252" t="str">
        <v>角色卡</v>
      </c>
      <c r="C49" s="1252" t="str">
        <v>J21</v>
      </c>
      <c r="D49" s="1252" t="str">
        <v>魅力豁免熟练标记</v>
      </c>
      <c r="E49" t="str">
        <v>input</v>
      </c>
      <c r="F49" t="str">
        <v>optional</v>
      </c>
    </row>
    <row r="50">
      <c r="A50" s="1252" t="str">
        <v>skill_acrobatics_prof</v>
      </c>
      <c r="B50" s="1252" t="str">
        <v>角色卡</v>
      </c>
      <c r="C50" s="1252" t="str">
        <v>J26</v>
      </c>
      <c r="D50" s="1252" t="str">
        <v>体操熟练标记（●熟练 / ◆专精）</v>
      </c>
      <c r="E50" t="str">
        <v>input</v>
      </c>
      <c r="F50" t="str">
        <v>optional</v>
      </c>
    </row>
    <row r="51">
      <c r="A51" s="1252" t="str">
        <v>skill_animal_handling_prof</v>
      </c>
      <c r="B51" s="1252" t="str">
        <v>角色卡</v>
      </c>
      <c r="C51" s="1252" t="str">
        <v>J27</v>
      </c>
      <c r="D51" s="1252" t="str">
        <v>驯兽熟练标记（●熟练 / ◆专精）</v>
      </c>
      <c r="E51" t="str">
        <v>input</v>
      </c>
      <c r="F51" t="str">
        <v>optional</v>
      </c>
    </row>
    <row r="52">
      <c r="A52" s="1252" t="str">
        <v>skill_arcana_prof</v>
      </c>
      <c r="B52" s="1252" t="str">
        <v>角色卡</v>
      </c>
      <c r="C52" s="1252" t="str">
        <v>J28</v>
      </c>
      <c r="D52" s="1252" t="str">
        <v>奥秘熟练标记（●熟练 / ◆专精）</v>
      </c>
      <c r="E52" t="str">
        <v>input</v>
      </c>
      <c r="F52" t="str">
        <v>optional</v>
      </c>
    </row>
    <row r="53">
      <c r="A53" s="1252" t="str">
        <v>skill_athletics_prof</v>
      </c>
      <c r="B53" s="1252" t="str">
        <v>角色卡</v>
      </c>
      <c r="C53" s="1252" t="str">
        <v>J29</v>
      </c>
      <c r="D53" s="1252" t="str">
        <v>运动熟练标记（●熟练 / ◆专精）</v>
      </c>
      <c r="E53" t="str">
        <v>input</v>
      </c>
      <c r="F53" t="str">
        <v>optional</v>
      </c>
    </row>
    <row r="54">
      <c r="A54" s="1252" t="str">
        <v>skill_deception_prof</v>
      </c>
      <c r="B54" s="1252" t="str">
        <v>角色卡</v>
      </c>
      <c r="C54" s="1252" t="str">
        <v>J30</v>
      </c>
      <c r="D54" s="1252" t="str">
        <v>欺瞒熟练标记（●熟练 / ◆专精）</v>
      </c>
      <c r="E54" t="str">
        <v>input</v>
      </c>
      <c r="F54" t="str">
        <v>optional</v>
      </c>
    </row>
    <row r="55">
      <c r="A55" s="1252" t="str">
        <v>skill_history_prof</v>
      </c>
      <c r="B55" s="1252" t="str">
        <v>角色卡</v>
      </c>
      <c r="C55" s="1252" t="str">
        <v>J31</v>
      </c>
      <c r="D55" s="1252" t="str">
        <v>历史熟练标记（●熟练 / ◆专精）</v>
      </c>
      <c r="E55" t="str">
        <v>input</v>
      </c>
      <c r="F55" t="str">
        <v>optional</v>
      </c>
    </row>
    <row r="56">
      <c r="A56" s="1252" t="str">
        <v>skill_insight_prof</v>
      </c>
      <c r="B56" s="1252" t="str">
        <v>角色卡</v>
      </c>
      <c r="C56" s="1252" t="str">
        <v>J32</v>
      </c>
      <c r="D56" s="1252" t="str">
        <v>洞悉熟练标记（●熟练 / ◆专精）</v>
      </c>
      <c r="E56" t="str">
        <v>input</v>
      </c>
      <c r="F56" t="str">
        <v>optional</v>
      </c>
    </row>
    <row r="57">
      <c r="A57" s="1252" t="str">
        <v>skill_intimidation_prof</v>
      </c>
      <c r="B57" s="1252" t="str">
        <v>角色卡</v>
      </c>
      <c r="C57" s="1252" t="str">
        <v>J33</v>
      </c>
      <c r="D57" s="1252" t="str">
        <v>威吓熟练标记（●熟练 / ◆专精）</v>
      </c>
      <c r="E57" t="str">
        <v>input</v>
      </c>
      <c r="F57" t="str">
        <v>optional</v>
      </c>
    </row>
    <row r="58">
      <c r="A58" s="1252" t="str">
        <v>skill_investigation_prof</v>
      </c>
      <c r="B58" s="1252" t="str">
        <v>角色卡</v>
      </c>
      <c r="C58" s="1252" t="str">
        <v>J34</v>
      </c>
      <c r="D58" s="1252" t="str">
        <v>调查熟练标记（●熟练 / ◆专精）</v>
      </c>
      <c r="E58" t="str">
        <v>input</v>
      </c>
      <c r="F58" t="str">
        <v>optional</v>
      </c>
    </row>
    <row r="59">
      <c r="A59" s="1252" t="str">
        <v>skill_medicine_prof</v>
      </c>
      <c r="B59" s="1252" t="str">
        <v>角色卡</v>
      </c>
      <c r="C59" s="1252" t="str">
        <v>J35</v>
      </c>
      <c r="D59" s="1252" t="str">
        <v>医药熟练标记（●熟练 / ◆专精）</v>
      </c>
      <c r="E59" t="str">
        <v>input</v>
      </c>
      <c r="F59" t="str">
        <v>optional</v>
      </c>
    </row>
    <row r="60">
      <c r="A60" s="1252" t="str">
        <v>skill_nature_prof</v>
      </c>
      <c r="B60" s="1252" t="str">
        <v>角色卡</v>
      </c>
      <c r="C60" s="1252" t="str">
        <v>J36</v>
      </c>
      <c r="D60" s="1252" t="str">
        <v>自然熟练标记（●熟练 / ◆专精）</v>
      </c>
      <c r="E60" t="str">
        <v>input</v>
      </c>
      <c r="F60" t="str">
        <v>optional</v>
      </c>
    </row>
    <row r="61">
      <c r="A61" s="1252" t="str">
        <v>skill_perception_prof</v>
      </c>
      <c r="B61" s="1252" t="str">
        <v>角色卡</v>
      </c>
      <c r="C61" s="1252" t="str">
        <v>J37</v>
      </c>
      <c r="D61" s="1252" t="str">
        <v>察觉熟练标记（●熟练 / ◆专精）</v>
      </c>
      <c r="E61" t="str">
        <v>input</v>
      </c>
      <c r="F61" t="str">
        <v>optional</v>
      </c>
    </row>
    <row r="62">
      <c r="A62" s="1252" t="str">
        <v>skill_performance_prof</v>
      </c>
      <c r="B62" s="1252" t="str">
        <v>角色卡</v>
      </c>
      <c r="C62" s="1252" t="str">
        <v>J38</v>
      </c>
      <c r="D62" s="1252" t="str">
        <v>表演熟练标记（●熟练 / ◆专精）</v>
      </c>
      <c r="E62" t="str">
        <v>input</v>
      </c>
      <c r="F62" t="str">
        <v>optional</v>
      </c>
    </row>
    <row r="63">
      <c r="A63" s="1252" t="str">
        <v>skill_persuasion_prof</v>
      </c>
      <c r="B63" s="1252" t="str">
        <v>角色卡</v>
      </c>
      <c r="C63" s="1252" t="str">
        <v>J39</v>
      </c>
      <c r="D63" s="1252" t="str">
        <v>游说熟练标记（●熟练 / ◆专精）</v>
      </c>
      <c r="E63" t="str">
        <v>input</v>
      </c>
      <c r="F63" t="str">
        <v>optional</v>
      </c>
    </row>
    <row r="64">
      <c r="A64" s="1252" t="str">
        <v>skill_religion_prof</v>
      </c>
      <c r="B64" s="1252" t="str">
        <v>角色卡</v>
      </c>
      <c r="C64" s="1252" t="str">
        <v>J40</v>
      </c>
      <c r="D64" s="1252" t="str">
        <v>宗教熟练标记（●熟练 / ◆专精）</v>
      </c>
      <c r="E64" t="str">
        <v>input</v>
      </c>
      <c r="F64" t="str">
        <v>optional</v>
      </c>
    </row>
    <row r="65">
      <c r="A65" s="1252" t="str">
        <v>skill_sleight_of_hand_prof</v>
      </c>
      <c r="B65" s="1252" t="str">
        <v>角色卡</v>
      </c>
      <c r="C65" s="1252" t="str">
        <v>J41</v>
      </c>
      <c r="D65" s="1252" t="str">
        <v>巧手熟练标记（●熟练 / ◆专精）</v>
      </c>
      <c r="E65" t="str">
        <v>input</v>
      </c>
      <c r="F65" t="str">
        <v>optional</v>
      </c>
    </row>
    <row r="66">
      <c r="A66" s="1252" t="str">
        <v>skill_stealth_prof</v>
      </c>
      <c r="B66" s="1252" t="str">
        <v>角色卡</v>
      </c>
      <c r="C66" s="1252" t="str">
        <v>J42</v>
      </c>
      <c r="D66" s="1252" t="str">
        <v>隐匿熟练标记（●熟练 / ◆专精）</v>
      </c>
      <c r="E66" t="str">
        <v>input</v>
      </c>
      <c r="F66" t="str">
        <v>optional</v>
      </c>
    </row>
    <row r="67">
      <c r="A67" s="1252" t="str">
        <v>skill_survival_prof</v>
      </c>
      <c r="B67" s="1252" t="str">
        <v>角色卡</v>
      </c>
      <c r="C67" s="1252" t="str">
        <v>J43</v>
      </c>
      <c r="D67" s="1252" t="str">
        <v>求生熟练标记（●熟练 / ◆专精）</v>
      </c>
      <c r="E67" t="str">
        <v>input</v>
      </c>
      <c r="F67" t="str">
        <v>optional</v>
      </c>
    </row>
    <row r="68">
      <c r="A68" s="1252" t="str">
        <v>attack_1_name</v>
      </c>
      <c r="B68" s="1252" t="str">
        <v>角色卡</v>
      </c>
      <c r="C68" s="1252" t="str">
        <v>Z60</v>
      </c>
      <c r="D68" s="1252" t="str">
        <v>攻击1名称</v>
      </c>
      <c r="E68" t="str">
        <v>input</v>
      </c>
      <c r="F68" t="str">
        <v>conditional</v>
      </c>
    </row>
    <row r="69">
      <c r="A69" s="1252" t="str">
        <v>attack_1_bonus</v>
      </c>
      <c r="B69" s="1252" t="str">
        <v>角色卡</v>
      </c>
      <c r="C69" s="1252" t="str">
        <v>AE60</v>
      </c>
      <c r="D69" s="1252" t="str">
        <v>攻击1加值</v>
      </c>
      <c r="E69" t="str">
        <v>input</v>
      </c>
      <c r="F69" t="str">
        <v>conditional</v>
      </c>
    </row>
    <row r="70">
      <c r="A70" s="1252" t="str">
        <v>attack_1_damage</v>
      </c>
      <c r="B70" s="1252" t="str">
        <v>角色卡</v>
      </c>
      <c r="C70" s="1252" t="str">
        <v>AH60</v>
      </c>
      <c r="D70" s="1252" t="str">
        <v>攻击1伤害/类型</v>
      </c>
      <c r="E70" t="str">
        <v>input</v>
      </c>
      <c r="F70" t="str">
        <v>conditional</v>
      </c>
    </row>
    <row r="71">
      <c r="A71" s="1252" t="str">
        <v>attack_2_name</v>
      </c>
      <c r="B71" s="1252" t="str">
        <v>角色卡</v>
      </c>
      <c r="C71" s="1252" t="str">
        <v>Z63</v>
      </c>
      <c r="D71" s="1252" t="str">
        <v>攻击2名称</v>
      </c>
      <c r="E71" t="str">
        <v>input</v>
      </c>
      <c r="F71" t="str">
        <v>conditional</v>
      </c>
    </row>
    <row r="72">
      <c r="A72" s="1252" t="str">
        <v>attack_2_bonus</v>
      </c>
      <c r="B72" s="1252" t="str">
        <v>角色卡</v>
      </c>
      <c r="C72" s="1252" t="str">
        <v>AE63</v>
      </c>
      <c r="D72" s="1252" t="str">
        <v>攻击2加值</v>
      </c>
      <c r="E72" t="str">
        <v>input</v>
      </c>
      <c r="F72" t="str">
        <v>conditional</v>
      </c>
    </row>
    <row r="73">
      <c r="A73" s="1252" t="str">
        <v>attack_2_damage</v>
      </c>
      <c r="B73" s="1252" t="str">
        <v>角色卡</v>
      </c>
      <c r="C73" s="1252" t="str">
        <v>AH63</v>
      </c>
      <c r="D73" s="1252" t="str">
        <v>攻击2伤害/类型</v>
      </c>
      <c r="E73" t="str">
        <v>input</v>
      </c>
      <c r="F73" t="str">
        <v>conditional</v>
      </c>
    </row>
    <row r="74">
      <c r="A74" s="1252" t="str">
        <v>attack_3_name</v>
      </c>
      <c r="B74" s="1252" t="str">
        <v>角色卡</v>
      </c>
      <c r="C74" s="1252" t="str">
        <v>Z66</v>
      </c>
      <c r="D74" s="1252" t="str">
        <v>攻击3名称</v>
      </c>
      <c r="E74" t="str">
        <v>input</v>
      </c>
      <c r="F74" t="str">
        <v>conditional</v>
      </c>
    </row>
    <row r="75">
      <c r="A75" s="1252" t="str">
        <v>attack_3_bonus</v>
      </c>
      <c r="B75" s="1252" t="str">
        <v>角色卡</v>
      </c>
      <c r="C75" s="1252" t="str">
        <v>AE66</v>
      </c>
      <c r="D75" s="1252" t="str">
        <v>攻击3加值</v>
      </c>
      <c r="E75" t="str">
        <v>input</v>
      </c>
      <c r="F75" t="str">
        <v>conditional</v>
      </c>
    </row>
    <row r="76">
      <c r="A76" s="1252" t="str">
        <v>attack_3_damage</v>
      </c>
      <c r="B76" s="1252" t="str">
        <v>角色卡</v>
      </c>
      <c r="C76" s="1252" t="str">
        <v>AH66</v>
      </c>
      <c r="D76" s="1252" t="str">
        <v>攻击3伤害/类型</v>
      </c>
      <c r="E76" t="str">
        <v>input</v>
      </c>
      <c r="F76" t="str">
        <v>conditional</v>
      </c>
    </row>
    <row r="77">
      <c r="A77" s="1252" t="str">
        <v>attack_4_name</v>
      </c>
      <c r="B77" s="1252" t="str">
        <v>角色卡</v>
      </c>
      <c r="C77" s="1252" t="str">
        <v>Z69</v>
      </c>
      <c r="D77" s="1252" t="str">
        <v>攻击4名称</v>
      </c>
      <c r="E77" t="str">
        <v>input</v>
      </c>
      <c r="F77" t="str">
        <v>conditional</v>
      </c>
    </row>
    <row r="78">
      <c r="A78" s="1252" t="str">
        <v>attack_4_bonus</v>
      </c>
      <c r="B78" s="1252" t="str">
        <v>角色卡</v>
      </c>
      <c r="C78" s="1252" t="str">
        <v>AE69</v>
      </c>
      <c r="D78" s="1252" t="str">
        <v>攻击4加值</v>
      </c>
      <c r="E78" t="str">
        <v>input</v>
      </c>
      <c r="F78" t="str">
        <v>conditional</v>
      </c>
    </row>
    <row r="79">
      <c r="A79" s="1252" t="str">
        <v>attack_4_damage</v>
      </c>
      <c r="B79" s="1252" t="str">
        <v>角色卡</v>
      </c>
      <c r="C79" s="1252" t="str">
        <v>AH69</v>
      </c>
      <c r="D79" s="1252" t="str">
        <v>攻击4伤害/类型</v>
      </c>
      <c r="E79" t="str">
        <v>input</v>
      </c>
      <c r="F79" t="str">
        <v>conditional</v>
      </c>
    </row>
    <row r="80">
      <c r="A80" s="1252" t="str">
        <v>spell_0_1_prepared</v>
      </c>
      <c r="B80" s="1252" t="str">
        <v>法术卡</v>
      </c>
      <c r="C80" s="1252" t="str">
        <v>A9</v>
      </c>
      <c r="D80" s="1252" t="str">
        <v>0环第1个法术准备标记</v>
      </c>
      <c r="E80" t="str">
        <v>input</v>
      </c>
      <c r="F80" t="str">
        <v>conditional</v>
      </c>
    </row>
    <row r="81">
      <c r="A81" s="1252" t="str">
        <v>spell_0_1_name</v>
      </c>
      <c r="B81" s="1252" t="str">
        <v>法术卡</v>
      </c>
      <c r="C81" s="1252" t="str">
        <v>C9</v>
      </c>
      <c r="D81" s="1252" t="str">
        <v>0环第1个法术名</v>
      </c>
      <c r="E81" t="str">
        <v>input</v>
      </c>
      <c r="F81" t="str">
        <v>conditional</v>
      </c>
    </row>
    <row r="82">
      <c r="A82" s="1252" t="str">
        <v>spell_0_2_prepared</v>
      </c>
      <c r="B82" s="1252" t="str">
        <v>法术卡</v>
      </c>
      <c r="C82" s="1252" t="str">
        <v>A10</v>
      </c>
      <c r="D82" s="1252" t="str">
        <v>0环第2个法术准备标记</v>
      </c>
      <c r="E82" t="str">
        <v>input</v>
      </c>
      <c r="F82" t="str">
        <v>conditional</v>
      </c>
    </row>
    <row r="83">
      <c r="A83" s="1252" t="str">
        <v>spell_0_2_name</v>
      </c>
      <c r="B83" s="1252" t="str">
        <v>法术卡</v>
      </c>
      <c r="C83" s="1252" t="str">
        <v>C10</v>
      </c>
      <c r="D83" s="1252" t="str">
        <v>0环第2个法术名</v>
      </c>
      <c r="E83" t="str">
        <v>input</v>
      </c>
      <c r="F83" t="str">
        <v>conditional</v>
      </c>
    </row>
    <row r="84">
      <c r="A84" s="1252" t="str">
        <v>spell_0_3_prepared</v>
      </c>
      <c r="B84" s="1252" t="str">
        <v>法术卡</v>
      </c>
      <c r="C84" s="1252" t="str">
        <v>A11</v>
      </c>
      <c r="D84" s="1252" t="str">
        <v>0环第3个法术准备标记</v>
      </c>
      <c r="E84" t="str">
        <v>input</v>
      </c>
      <c r="F84" t="str">
        <v>conditional</v>
      </c>
    </row>
    <row r="85">
      <c r="A85" s="1252" t="str">
        <v>spell_0_3_name</v>
      </c>
      <c r="B85" s="1252" t="str">
        <v>法术卡</v>
      </c>
      <c r="C85" s="1252" t="str">
        <v>C11</v>
      </c>
      <c r="D85" s="1252" t="str">
        <v>0环第3个法术名</v>
      </c>
      <c r="E85" t="str">
        <v>input</v>
      </c>
      <c r="F85" t="str">
        <v>conditional</v>
      </c>
    </row>
    <row r="86">
      <c r="A86" s="1252" t="str">
        <v>spell_0_4_prepared</v>
      </c>
      <c r="B86" s="1252" t="str">
        <v>法术卡</v>
      </c>
      <c r="C86" s="1252" t="str">
        <v>A12</v>
      </c>
      <c r="D86" s="1252" t="str">
        <v>0环第4个法术准备标记</v>
      </c>
      <c r="E86" t="str">
        <v>input</v>
      </c>
      <c r="F86" t="str">
        <v>conditional</v>
      </c>
    </row>
    <row r="87">
      <c r="A87" s="1252" t="str">
        <v>spell_0_4_name</v>
      </c>
      <c r="B87" s="1252" t="str">
        <v>法术卡</v>
      </c>
      <c r="C87" s="1252" t="str">
        <v>C12</v>
      </c>
      <c r="D87" s="1252" t="str">
        <v>0环第4个法术名</v>
      </c>
      <c r="E87" t="str">
        <v>input</v>
      </c>
      <c r="F87" t="str">
        <v>conditional</v>
      </c>
    </row>
    <row r="88">
      <c r="A88" s="1252" t="str">
        <v>spell_0_5_prepared</v>
      </c>
      <c r="B88" s="1252" t="str">
        <v>法术卡</v>
      </c>
      <c r="C88" s="1252" t="str">
        <v>A13</v>
      </c>
      <c r="D88" s="1252" t="str">
        <v>0环第5个法术准备标记</v>
      </c>
      <c r="E88" t="str">
        <v>input</v>
      </c>
      <c r="F88" t="str">
        <v>conditional</v>
      </c>
    </row>
    <row r="89">
      <c r="A89" s="1252" t="str">
        <v>spell_0_5_name</v>
      </c>
      <c r="B89" s="1252" t="str">
        <v>法术卡</v>
      </c>
      <c r="C89" s="1252" t="str">
        <v>C13</v>
      </c>
      <c r="D89" s="1252" t="str">
        <v>0环第5个法术名</v>
      </c>
      <c r="E89" t="str">
        <v>input</v>
      </c>
      <c r="F89" t="str">
        <v>conditional</v>
      </c>
    </row>
    <row r="90">
      <c r="A90" s="1252" t="str">
        <v>spell_0_6_prepared</v>
      </c>
      <c r="B90" s="1252" t="str">
        <v>法术卡</v>
      </c>
      <c r="C90" s="1252" t="str">
        <v>A14</v>
      </c>
      <c r="D90" s="1252" t="str">
        <v>0环第6个法术准备标记</v>
      </c>
      <c r="E90" t="str">
        <v>input</v>
      </c>
      <c r="F90" t="str">
        <v>conditional</v>
      </c>
    </row>
    <row r="91">
      <c r="A91" s="1252" t="str">
        <v>spell_0_6_name</v>
      </c>
      <c r="B91" s="1252" t="str">
        <v>法术卡</v>
      </c>
      <c r="C91" s="1252" t="str">
        <v>C14</v>
      </c>
      <c r="D91" s="1252" t="str">
        <v>0环第6个法术名</v>
      </c>
      <c r="E91" t="str">
        <v>input</v>
      </c>
      <c r="F91" t="str">
        <v>conditional</v>
      </c>
    </row>
    <row r="92">
      <c r="A92" s="1252" t="str">
        <v>spell_0_7_prepared</v>
      </c>
      <c r="B92" s="1252" t="str">
        <v>法术卡</v>
      </c>
      <c r="C92" s="1252" t="str">
        <v>A15</v>
      </c>
      <c r="D92" s="1252" t="str">
        <v>0环第7个法术准备标记</v>
      </c>
      <c r="E92" t="str">
        <v>input</v>
      </c>
      <c r="F92" t="str">
        <v>conditional</v>
      </c>
    </row>
    <row r="93">
      <c r="A93" s="1252" t="str">
        <v>spell_0_7_name</v>
      </c>
      <c r="B93" s="1252" t="str">
        <v>法术卡</v>
      </c>
      <c r="C93" s="1252" t="str">
        <v>C15</v>
      </c>
      <c r="D93" s="1252" t="str">
        <v>0环第7个法术名</v>
      </c>
      <c r="E93" t="str">
        <v>input</v>
      </c>
      <c r="F93" t="str">
        <v>conditional</v>
      </c>
    </row>
    <row r="94">
      <c r="A94" s="1252" t="str">
        <v>spell_0_8_prepared</v>
      </c>
      <c r="B94" s="1252" t="str">
        <v>法术卡</v>
      </c>
      <c r="C94" s="1252" t="str">
        <v>A16</v>
      </c>
      <c r="D94" s="1252" t="str">
        <v>0环第8个法术准备标记</v>
      </c>
      <c r="E94" t="str">
        <v>input</v>
      </c>
      <c r="F94" t="str">
        <v>conditional</v>
      </c>
    </row>
    <row r="95">
      <c r="A95" s="1252" t="str">
        <v>spell_0_8_name</v>
      </c>
      <c r="B95" s="1252" t="str">
        <v>法术卡</v>
      </c>
      <c r="C95" s="1252" t="str">
        <v>C16</v>
      </c>
      <c r="D95" s="1252" t="str">
        <v>0环第8个法术名</v>
      </c>
      <c r="E95" t="str">
        <v>input</v>
      </c>
      <c r="F95" t="str">
        <v>conditional</v>
      </c>
    </row>
    <row r="96">
      <c r="A96" s="1252" t="str">
        <v>spell_1_1_prepared</v>
      </c>
      <c r="B96" s="1252" t="str">
        <v>法术卡</v>
      </c>
      <c r="C96" s="1252" t="str">
        <v>A26</v>
      </c>
      <c r="D96" s="1252" t="str">
        <v>1环第1个法术准备标记</v>
      </c>
      <c r="E96" t="str">
        <v>input</v>
      </c>
      <c r="F96" t="str">
        <v>conditional</v>
      </c>
    </row>
    <row r="97">
      <c r="A97" s="1252" t="str">
        <v>spell_1_1_name</v>
      </c>
      <c r="B97" s="1252" t="str">
        <v>法术卡</v>
      </c>
      <c r="C97" s="1252" t="str">
        <v>C26</v>
      </c>
      <c r="D97" s="1252" t="str">
        <v>1环第1个法术名</v>
      </c>
      <c r="E97" t="str">
        <v>input</v>
      </c>
      <c r="F97" t="str">
        <v>conditional</v>
      </c>
    </row>
    <row r="98">
      <c r="A98" s="1252" t="str">
        <v>spell_1_2_prepared</v>
      </c>
      <c r="B98" s="1252" t="str">
        <v>法术卡</v>
      </c>
      <c r="C98" s="1252" t="str">
        <v>A27</v>
      </c>
      <c r="D98" s="1252" t="str">
        <v>1环第2个法术准备标记</v>
      </c>
      <c r="E98" t="str">
        <v>input</v>
      </c>
      <c r="F98" t="str">
        <v>conditional</v>
      </c>
    </row>
    <row r="99">
      <c r="A99" s="1252" t="str">
        <v>spell_1_2_name</v>
      </c>
      <c r="B99" s="1252" t="str">
        <v>法术卡</v>
      </c>
      <c r="C99" s="1252" t="str">
        <v>C27</v>
      </c>
      <c r="D99" s="1252" t="str">
        <v>1环第2个法术名</v>
      </c>
      <c r="E99" t="str">
        <v>input</v>
      </c>
      <c r="F99" t="str">
        <v>conditional</v>
      </c>
    </row>
    <row r="100">
      <c r="A100" s="1252" t="str">
        <v>spell_1_3_prepared</v>
      </c>
      <c r="B100" s="1252" t="str">
        <v>法术卡</v>
      </c>
      <c r="C100" s="1252" t="str">
        <v>A28</v>
      </c>
      <c r="D100" s="1252" t="str">
        <v>1环第3个法术准备标记</v>
      </c>
      <c r="E100" t="str">
        <v>input</v>
      </c>
      <c r="F100" t="str">
        <v>conditional</v>
      </c>
    </row>
    <row r="101">
      <c r="A101" s="1252" t="str">
        <v>spell_1_3_name</v>
      </c>
      <c r="B101" s="1252" t="str">
        <v>法术卡</v>
      </c>
      <c r="C101" s="1252" t="str">
        <v>C28</v>
      </c>
      <c r="D101" s="1252" t="str">
        <v>1环第3个法术名</v>
      </c>
      <c r="E101" t="str">
        <v>input</v>
      </c>
      <c r="F101" t="str">
        <v>conditional</v>
      </c>
    </row>
    <row r="102">
      <c r="A102" s="1252" t="str">
        <v>spell_1_4_prepared</v>
      </c>
      <c r="B102" s="1252" t="str">
        <v>法术卡</v>
      </c>
      <c r="C102" s="1252" t="str">
        <v>A29</v>
      </c>
      <c r="D102" s="1252" t="str">
        <v>1环第4个法术准备标记</v>
      </c>
      <c r="E102" t="str">
        <v>input</v>
      </c>
      <c r="F102" t="str">
        <v>conditional</v>
      </c>
    </row>
    <row r="103">
      <c r="A103" s="1252" t="str">
        <v>spell_1_4_name</v>
      </c>
      <c r="B103" s="1252" t="str">
        <v>法术卡</v>
      </c>
      <c r="C103" s="1252" t="str">
        <v>C29</v>
      </c>
      <c r="D103" s="1252" t="str">
        <v>1环第4个法术名</v>
      </c>
      <c r="E103" t="str">
        <v>input</v>
      </c>
      <c r="F103" t="str">
        <v>conditional</v>
      </c>
    </row>
    <row r="104">
      <c r="A104" s="1252" t="str">
        <v>spell_1_5_prepared</v>
      </c>
      <c r="B104" s="1252" t="str">
        <v>法术卡</v>
      </c>
      <c r="C104" s="1252" t="str">
        <v>A30</v>
      </c>
      <c r="D104" s="1252" t="str">
        <v>1环第5个法术准备标记</v>
      </c>
      <c r="E104" t="str">
        <v>input</v>
      </c>
      <c r="F104" t="str">
        <v>conditional</v>
      </c>
    </row>
    <row r="105">
      <c r="A105" s="1252" t="str">
        <v>spell_1_5_name</v>
      </c>
      <c r="B105" s="1252" t="str">
        <v>法术卡</v>
      </c>
      <c r="C105" s="1252" t="str">
        <v>C30</v>
      </c>
      <c r="D105" s="1252" t="str">
        <v>1环第5个法术名</v>
      </c>
      <c r="E105" t="str">
        <v>input</v>
      </c>
      <c r="F105" t="str">
        <v>conditional</v>
      </c>
    </row>
    <row r="106">
      <c r="A106" s="1252" t="str">
        <v>spell_1_6_prepared</v>
      </c>
      <c r="B106" s="1252" t="str">
        <v>法术卡</v>
      </c>
      <c r="C106" s="1252" t="str">
        <v>A31</v>
      </c>
      <c r="D106" s="1252" t="str">
        <v>1环第6个法术准备标记</v>
      </c>
      <c r="E106" t="str">
        <v>input</v>
      </c>
      <c r="F106" t="str">
        <v>conditional</v>
      </c>
    </row>
    <row r="107">
      <c r="A107" s="1252" t="str">
        <v>spell_1_6_name</v>
      </c>
      <c r="B107" s="1252" t="str">
        <v>法术卡</v>
      </c>
      <c r="C107" s="1252" t="str">
        <v>C31</v>
      </c>
      <c r="D107" s="1252" t="str">
        <v>1环第6个法术名</v>
      </c>
      <c r="E107" t="str">
        <v>input</v>
      </c>
      <c r="F107" t="str">
        <v>conditional</v>
      </c>
    </row>
    <row r="108">
      <c r="A108" s="1252" t="str">
        <v>spell_1_7_prepared</v>
      </c>
      <c r="B108" s="1252" t="str">
        <v>法术卡</v>
      </c>
      <c r="C108" s="1252" t="str">
        <v>A32</v>
      </c>
      <c r="D108" s="1252" t="str">
        <v>1环第7个法术准备标记</v>
      </c>
      <c r="E108" t="str">
        <v>input</v>
      </c>
      <c r="F108" t="str">
        <v>conditional</v>
      </c>
    </row>
    <row r="109">
      <c r="A109" s="1252" t="str">
        <v>spell_1_7_name</v>
      </c>
      <c r="B109" s="1252" t="str">
        <v>法术卡</v>
      </c>
      <c r="C109" s="1252" t="str">
        <v>C32</v>
      </c>
      <c r="D109" s="1252" t="str">
        <v>1环第7个法术名</v>
      </c>
      <c r="E109" t="str">
        <v>input</v>
      </c>
      <c r="F109" t="str">
        <v>conditional</v>
      </c>
    </row>
    <row r="110">
      <c r="A110" s="1252" t="str">
        <v>spell_1_8_prepared</v>
      </c>
      <c r="B110" s="1252" t="str">
        <v>法术卡</v>
      </c>
      <c r="C110" s="1252" t="str">
        <v>A33</v>
      </c>
      <c r="D110" s="1252" t="str">
        <v>1环第8个法术准备标记</v>
      </c>
      <c r="E110" t="str">
        <v>input</v>
      </c>
      <c r="F110" t="str">
        <v>conditional</v>
      </c>
    </row>
    <row r="111">
      <c r="A111" s="1252" t="str">
        <v>spell_1_8_name</v>
      </c>
      <c r="B111" s="1252" t="str">
        <v>法术卡</v>
      </c>
      <c r="C111" s="1252" t="str">
        <v>C33</v>
      </c>
      <c r="D111" s="1252" t="str">
        <v>1环第8个法术名</v>
      </c>
      <c r="E111" t="str">
        <v>input</v>
      </c>
      <c r="F111" t="str">
        <v>conditional</v>
      </c>
    </row>
    <row r="112">
      <c r="A112" s="1252" t="str">
        <v>spell_1_9_prepared</v>
      </c>
      <c r="B112" s="1252" t="str">
        <v>法术卡</v>
      </c>
      <c r="C112" s="1252" t="str">
        <v>A34</v>
      </c>
      <c r="D112" s="1252" t="str">
        <v>1环第9个法术准备标记</v>
      </c>
      <c r="E112" t="str">
        <v>input</v>
      </c>
      <c r="F112" t="str">
        <v>conditional</v>
      </c>
    </row>
    <row r="113">
      <c r="A113" s="1252" t="str">
        <v>spell_1_9_name</v>
      </c>
      <c r="B113" s="1252" t="str">
        <v>法术卡</v>
      </c>
      <c r="C113" s="1252" t="str">
        <v>C34</v>
      </c>
      <c r="D113" s="1252" t="str">
        <v>1环第9个法术名</v>
      </c>
      <c r="E113" t="str">
        <v>input</v>
      </c>
      <c r="F113" t="str">
        <v>conditional</v>
      </c>
    </row>
    <row r="114">
      <c r="A114" s="1252" t="str">
        <v>spell_1_10_prepared</v>
      </c>
      <c r="B114" s="1252" t="str">
        <v>法术卡</v>
      </c>
      <c r="C114" s="1252" t="str">
        <v>A35</v>
      </c>
      <c r="D114" s="1252" t="str">
        <v>1环第10个法术准备标记</v>
      </c>
      <c r="E114" t="str">
        <v>input</v>
      </c>
      <c r="F114" t="str">
        <v>conditional</v>
      </c>
    </row>
    <row r="115">
      <c r="A115" s="1252" t="str">
        <v>spell_1_10_name</v>
      </c>
      <c r="B115" s="1252" t="str">
        <v>法术卡</v>
      </c>
      <c r="C115" s="1252" t="str">
        <v>C35</v>
      </c>
      <c r="D115" s="1252" t="str">
        <v>1环第10个法术名</v>
      </c>
      <c r="E115" t="str">
        <v>input</v>
      </c>
      <c r="F115" t="str">
        <v>conditional</v>
      </c>
    </row>
    <row r="116">
      <c r="A116" s="1252" t="str">
        <v>spell_2_1_prepared</v>
      </c>
      <c r="B116" s="1252" t="str">
        <v>法术卡</v>
      </c>
      <c r="C116" s="1252" t="str">
        <v>A44</v>
      </c>
      <c r="D116" s="1252" t="str">
        <v>2环第1个法术准备标记</v>
      </c>
      <c r="E116" t="str">
        <v>input</v>
      </c>
      <c r="F116" t="str">
        <v>conditional</v>
      </c>
    </row>
    <row r="117">
      <c r="A117" s="1252" t="str">
        <v>spell_2_1_name</v>
      </c>
      <c r="B117" s="1252" t="str">
        <v>法术卡</v>
      </c>
      <c r="C117" s="1252" t="str">
        <v>C44</v>
      </c>
      <c r="D117" s="1252" t="str">
        <v>2环第1个法术名</v>
      </c>
      <c r="E117" t="str">
        <v>input</v>
      </c>
      <c r="F117" t="str">
        <v>conditional</v>
      </c>
    </row>
    <row r="118">
      <c r="A118" s="1252" t="str">
        <v>spell_2_2_prepared</v>
      </c>
      <c r="B118" s="1252" t="str">
        <v>法术卡</v>
      </c>
      <c r="C118" s="1252" t="str">
        <v>A45</v>
      </c>
      <c r="D118" s="1252" t="str">
        <v>2环第2个法术准备标记</v>
      </c>
      <c r="E118" t="str">
        <v>input</v>
      </c>
      <c r="F118" t="str">
        <v>conditional</v>
      </c>
    </row>
    <row r="119">
      <c r="A119" s="1252" t="str">
        <v>spell_2_2_name</v>
      </c>
      <c r="B119" s="1252" t="str">
        <v>法术卡</v>
      </c>
      <c r="C119" s="1252" t="str">
        <v>C45</v>
      </c>
      <c r="D119" s="1252" t="str">
        <v>2环第2个法术名</v>
      </c>
      <c r="E119" t="str">
        <v>input</v>
      </c>
      <c r="F119" t="str">
        <v>conditional</v>
      </c>
    </row>
    <row r="120">
      <c r="A120" s="1252" t="str">
        <v>spell_2_3_prepared</v>
      </c>
      <c r="B120" s="1252" t="str">
        <v>法术卡</v>
      </c>
      <c r="C120" s="1252" t="str">
        <v>A46</v>
      </c>
      <c r="D120" s="1252" t="str">
        <v>2环第3个法术准备标记</v>
      </c>
      <c r="E120" t="str">
        <v>input</v>
      </c>
      <c r="F120" t="str">
        <v>conditional</v>
      </c>
    </row>
    <row r="121">
      <c r="A121" s="1252" t="str">
        <v>spell_2_3_name</v>
      </c>
      <c r="B121" s="1252" t="str">
        <v>法术卡</v>
      </c>
      <c r="C121" s="1252" t="str">
        <v>C46</v>
      </c>
      <c r="D121" s="1252" t="str">
        <v>2环第3个法术名</v>
      </c>
      <c r="E121" t="str">
        <v>input</v>
      </c>
      <c r="F121" t="str">
        <v>conditional</v>
      </c>
    </row>
    <row r="122">
      <c r="A122" s="1252" t="str">
        <v>spell_2_4_prepared</v>
      </c>
      <c r="B122" s="1252" t="str">
        <v>法术卡</v>
      </c>
      <c r="C122" s="1252" t="str">
        <v>A47</v>
      </c>
      <c r="D122" s="1252" t="str">
        <v>2环第4个法术准备标记</v>
      </c>
      <c r="E122" t="str">
        <v>input</v>
      </c>
      <c r="F122" t="str">
        <v>conditional</v>
      </c>
    </row>
    <row r="123">
      <c r="A123" s="1252" t="str">
        <v>spell_2_4_name</v>
      </c>
      <c r="B123" s="1252" t="str">
        <v>法术卡</v>
      </c>
      <c r="C123" s="1252" t="str">
        <v>C47</v>
      </c>
      <c r="D123" s="1252" t="str">
        <v>2环第4个法术名</v>
      </c>
      <c r="E123" t="str">
        <v>input</v>
      </c>
      <c r="F123" t="str">
        <v>conditional</v>
      </c>
    </row>
    <row r="124">
      <c r="A124" s="1252" t="str">
        <v>spell_2_5_prepared</v>
      </c>
      <c r="B124" s="1252" t="str">
        <v>法术卡</v>
      </c>
      <c r="C124" s="1252" t="str">
        <v>A48</v>
      </c>
      <c r="D124" s="1252" t="str">
        <v>2环第5个法术准备标记</v>
      </c>
      <c r="E124" t="str">
        <v>input</v>
      </c>
      <c r="F124" t="str">
        <v>conditional</v>
      </c>
    </row>
    <row r="125">
      <c r="A125" s="1252" t="str">
        <v>spell_2_5_name</v>
      </c>
      <c r="B125" s="1252" t="str">
        <v>法术卡</v>
      </c>
      <c r="C125" s="1252" t="str">
        <v>C48</v>
      </c>
      <c r="D125" s="1252" t="str">
        <v>2环第5个法术名</v>
      </c>
      <c r="E125" t="str">
        <v>input</v>
      </c>
      <c r="F125" t="str">
        <v>conditional</v>
      </c>
    </row>
    <row r="126">
      <c r="A126" s="1252" t="str">
        <v>spell_2_6_prepared</v>
      </c>
      <c r="B126" s="1252" t="str">
        <v>法术卡</v>
      </c>
      <c r="C126" s="1252" t="str">
        <v>A49</v>
      </c>
      <c r="D126" s="1252" t="str">
        <v>2环第6个法术准备标记</v>
      </c>
      <c r="E126" t="str">
        <v>input</v>
      </c>
      <c r="F126" t="str">
        <v>conditional</v>
      </c>
    </row>
    <row r="127">
      <c r="A127" s="1252" t="str">
        <v>spell_2_6_name</v>
      </c>
      <c r="B127" s="1252" t="str">
        <v>法术卡</v>
      </c>
      <c r="C127" s="1252" t="str">
        <v>C49</v>
      </c>
      <c r="D127" s="1252" t="str">
        <v>2环第6个法术名</v>
      </c>
      <c r="E127" t="str">
        <v>input</v>
      </c>
      <c r="F127" t="str">
        <v>conditional</v>
      </c>
    </row>
    <row r="128">
      <c r="A128" s="1252" t="str">
        <v>spell_2_7_prepared</v>
      </c>
      <c r="B128" s="1252" t="str">
        <v>法术卡</v>
      </c>
      <c r="C128" s="1252" t="str">
        <v>A50</v>
      </c>
      <c r="D128" s="1252" t="str">
        <v>2环第7个法术准备标记</v>
      </c>
      <c r="E128" t="str">
        <v>input</v>
      </c>
      <c r="F128" t="str">
        <v>conditional</v>
      </c>
    </row>
    <row r="129">
      <c r="A129" s="1252" t="str">
        <v>spell_2_7_name</v>
      </c>
      <c r="B129" s="1252" t="str">
        <v>法术卡</v>
      </c>
      <c r="C129" s="1252" t="str">
        <v>C50</v>
      </c>
      <c r="D129" s="1252" t="str">
        <v>2环第7个法术名</v>
      </c>
      <c r="E129" t="str">
        <v>input</v>
      </c>
      <c r="F129" t="str">
        <v>conditional</v>
      </c>
    </row>
    <row r="130">
      <c r="A130" s="1252" t="str">
        <v>spell_2_8_prepared</v>
      </c>
      <c r="B130" s="1252" t="str">
        <v>法术卡</v>
      </c>
      <c r="C130" s="1252" t="str">
        <v>A51</v>
      </c>
      <c r="D130" s="1252" t="str">
        <v>2环第8个法术准备标记</v>
      </c>
      <c r="E130" t="str">
        <v>input</v>
      </c>
      <c r="F130" t="str">
        <v>conditional</v>
      </c>
    </row>
    <row r="131">
      <c r="A131" s="1252" t="str">
        <v>spell_2_8_name</v>
      </c>
      <c r="B131" s="1252" t="str">
        <v>法术卡</v>
      </c>
      <c r="C131" s="1252" t="str">
        <v>C51</v>
      </c>
      <c r="D131" s="1252" t="str">
        <v>2环第8个法术名</v>
      </c>
      <c r="E131" t="str">
        <v>input</v>
      </c>
      <c r="F131" t="str">
        <v>conditional</v>
      </c>
    </row>
    <row r="132">
      <c r="A132" s="1252" t="str">
        <v>spell_2_9_prepared</v>
      </c>
      <c r="B132" s="1252" t="str">
        <v>法术卡</v>
      </c>
      <c r="C132" s="1252" t="str">
        <v>A52</v>
      </c>
      <c r="D132" s="1252" t="str">
        <v>2环第9个法术准备标记</v>
      </c>
      <c r="E132" t="str">
        <v>input</v>
      </c>
      <c r="F132" t="str">
        <v>conditional</v>
      </c>
    </row>
    <row r="133">
      <c r="A133" s="1252" t="str">
        <v>spell_2_9_name</v>
      </c>
      <c r="B133" s="1252" t="str">
        <v>法术卡</v>
      </c>
      <c r="C133" s="1252" t="str">
        <v>C52</v>
      </c>
      <c r="D133" s="1252" t="str">
        <v>2环第9个法术名</v>
      </c>
      <c r="E133" t="str">
        <v>input</v>
      </c>
      <c r="F133" t="str">
        <v>conditional</v>
      </c>
    </row>
    <row r="134">
      <c r="A134" s="1252" t="str">
        <v>spell_2_10_prepared</v>
      </c>
      <c r="B134" s="1252" t="str">
        <v>法术卡</v>
      </c>
      <c r="C134" s="1252" t="str">
        <v>A53</v>
      </c>
      <c r="D134" s="1252" t="str">
        <v>2环第10个法术准备标记</v>
      </c>
      <c r="E134" t="str">
        <v>input</v>
      </c>
      <c r="F134" t="str">
        <v>conditional</v>
      </c>
    </row>
    <row r="135">
      <c r="A135" s="1252" t="str">
        <v>spell_2_10_name</v>
      </c>
      <c r="B135" s="1252" t="str">
        <v>法术卡</v>
      </c>
      <c r="C135" s="1252" t="str">
        <v>C53</v>
      </c>
      <c r="D135" s="1252" t="str">
        <v>2环第10个法术名</v>
      </c>
      <c r="E135" t="str">
        <v>input</v>
      </c>
      <c r="F135" t="str">
        <v>conditional</v>
      </c>
    </row>
    <row r="136">
      <c r="A136" s="1252" t="str">
        <v>spell_3_1_prepared</v>
      </c>
      <c r="B136" s="1252" t="str">
        <v>法术卡</v>
      </c>
      <c r="C136" s="1252" t="str">
        <v>A62</v>
      </c>
      <c r="D136" s="1252" t="str">
        <v>3环第1个法术准备标记</v>
      </c>
      <c r="E136" t="str">
        <v>input</v>
      </c>
      <c r="F136" t="str">
        <v>conditional</v>
      </c>
    </row>
    <row r="137">
      <c r="A137" s="1252" t="str">
        <v>spell_3_1_name</v>
      </c>
      <c r="B137" s="1252" t="str">
        <v>法术卡</v>
      </c>
      <c r="C137" s="1252" t="str">
        <v>C62</v>
      </c>
      <c r="D137" s="1252" t="str">
        <v>3环第1个法术名</v>
      </c>
      <c r="E137" t="str">
        <v>input</v>
      </c>
      <c r="F137" t="str">
        <v>conditional</v>
      </c>
    </row>
    <row r="138">
      <c r="A138" s="1252" t="str">
        <v>spell_3_2_prepared</v>
      </c>
      <c r="B138" s="1252" t="str">
        <v>法术卡</v>
      </c>
      <c r="C138" s="1252" t="str">
        <v>A63</v>
      </c>
      <c r="D138" s="1252" t="str">
        <v>3环第2个法术准备标记</v>
      </c>
      <c r="E138" t="str">
        <v>input</v>
      </c>
      <c r="F138" t="str">
        <v>conditional</v>
      </c>
    </row>
    <row r="139">
      <c r="A139" s="1252" t="str">
        <v>spell_3_2_name</v>
      </c>
      <c r="B139" s="1252" t="str">
        <v>法术卡</v>
      </c>
      <c r="C139" s="1252" t="str">
        <v>C63</v>
      </c>
      <c r="D139" s="1252" t="str">
        <v>3环第2个法术名</v>
      </c>
      <c r="E139" t="str">
        <v>input</v>
      </c>
      <c r="F139" t="str">
        <v>conditional</v>
      </c>
    </row>
    <row r="140">
      <c r="A140" s="1252" t="str">
        <v>spell_3_3_prepared</v>
      </c>
      <c r="B140" s="1252" t="str">
        <v>法术卡</v>
      </c>
      <c r="C140" s="1252" t="str">
        <v>A64</v>
      </c>
      <c r="D140" s="1252" t="str">
        <v>3环第3个法术准备标记</v>
      </c>
      <c r="E140" t="str">
        <v>input</v>
      </c>
      <c r="F140" t="str">
        <v>conditional</v>
      </c>
    </row>
    <row r="141">
      <c r="A141" s="1252" t="str">
        <v>spell_3_3_name</v>
      </c>
      <c r="B141" s="1252" t="str">
        <v>法术卡</v>
      </c>
      <c r="C141" s="1252" t="str">
        <v>C64</v>
      </c>
      <c r="D141" s="1252" t="str">
        <v>3环第3个法术名</v>
      </c>
      <c r="E141" t="str">
        <v>input</v>
      </c>
      <c r="F141" t="str">
        <v>conditional</v>
      </c>
    </row>
    <row r="142">
      <c r="A142" s="1252" t="str">
        <v>spell_3_4_prepared</v>
      </c>
      <c r="B142" s="1252" t="str">
        <v>法术卡</v>
      </c>
      <c r="C142" s="1252" t="str">
        <v>A65</v>
      </c>
      <c r="D142" s="1252" t="str">
        <v>3环第4个法术准备标记</v>
      </c>
      <c r="E142" t="str">
        <v>input</v>
      </c>
      <c r="F142" t="str">
        <v>conditional</v>
      </c>
    </row>
    <row r="143">
      <c r="A143" s="1252" t="str">
        <v>spell_3_4_name</v>
      </c>
      <c r="B143" s="1252" t="str">
        <v>法术卡</v>
      </c>
      <c r="C143" s="1252" t="str">
        <v>C65</v>
      </c>
      <c r="D143" s="1252" t="str">
        <v>3环第4个法术名</v>
      </c>
      <c r="E143" t="str">
        <v>input</v>
      </c>
      <c r="F143" t="str">
        <v>conditional</v>
      </c>
    </row>
    <row r="144">
      <c r="A144" s="1252" t="str">
        <v>spell_3_5_prepared</v>
      </c>
      <c r="B144" s="1252" t="str">
        <v>法术卡</v>
      </c>
      <c r="C144" s="1252" t="str">
        <v>A66</v>
      </c>
      <c r="D144" s="1252" t="str">
        <v>3环第5个法术准备标记</v>
      </c>
      <c r="E144" t="str">
        <v>input</v>
      </c>
      <c r="F144" t="str">
        <v>conditional</v>
      </c>
    </row>
    <row r="145">
      <c r="A145" s="1252" t="str">
        <v>spell_3_5_name</v>
      </c>
      <c r="B145" s="1252" t="str">
        <v>法术卡</v>
      </c>
      <c r="C145" s="1252" t="str">
        <v>C66</v>
      </c>
      <c r="D145" s="1252" t="str">
        <v>3环第5个法术名</v>
      </c>
      <c r="E145" t="str">
        <v>input</v>
      </c>
      <c r="F145" t="str">
        <v>conditional</v>
      </c>
    </row>
    <row r="146">
      <c r="A146" s="1252" t="str">
        <v>spell_3_6_prepared</v>
      </c>
      <c r="B146" s="1252" t="str">
        <v>法术卡</v>
      </c>
      <c r="C146" s="1252" t="str">
        <v>A67</v>
      </c>
      <c r="D146" s="1252" t="str">
        <v>3环第6个法术准备标记</v>
      </c>
      <c r="E146" t="str">
        <v>input</v>
      </c>
      <c r="F146" t="str">
        <v>conditional</v>
      </c>
    </row>
    <row r="147">
      <c r="A147" s="1252" t="str">
        <v>spell_3_6_name</v>
      </c>
      <c r="B147" s="1252" t="str">
        <v>法术卡</v>
      </c>
      <c r="C147" s="1252" t="str">
        <v>C67</v>
      </c>
      <c r="D147" s="1252" t="str">
        <v>3环第6个法术名</v>
      </c>
      <c r="E147" t="str">
        <v>input</v>
      </c>
      <c r="F147" t="str">
        <v>conditional</v>
      </c>
    </row>
    <row r="148">
      <c r="A148" s="1252" t="str">
        <v>spell_3_7_prepared</v>
      </c>
      <c r="B148" s="1252" t="str">
        <v>法术卡</v>
      </c>
      <c r="C148" s="1252" t="str">
        <v>A68</v>
      </c>
      <c r="D148" s="1252" t="str">
        <v>3环第7个法术准备标记</v>
      </c>
      <c r="E148" t="str">
        <v>input</v>
      </c>
      <c r="F148" t="str">
        <v>conditional</v>
      </c>
    </row>
    <row r="149">
      <c r="A149" s="1252" t="str">
        <v>spell_3_7_name</v>
      </c>
      <c r="B149" s="1252" t="str">
        <v>法术卡</v>
      </c>
      <c r="C149" s="1252" t="str">
        <v>C68</v>
      </c>
      <c r="D149" s="1252" t="str">
        <v>3环第7个法术名</v>
      </c>
      <c r="E149" t="str">
        <v>input</v>
      </c>
      <c r="F149" t="str">
        <v>conditional</v>
      </c>
    </row>
    <row r="150">
      <c r="A150" s="1252" t="str">
        <v>spell_3_8_prepared</v>
      </c>
      <c r="B150" s="1252" t="str">
        <v>法术卡</v>
      </c>
      <c r="C150" s="1252" t="str">
        <v>A69</v>
      </c>
      <c r="D150" s="1252" t="str">
        <v>3环第8个法术准备标记</v>
      </c>
      <c r="E150" t="str">
        <v>input</v>
      </c>
      <c r="F150" t="str">
        <v>conditional</v>
      </c>
    </row>
    <row r="151">
      <c r="A151" s="1252" t="str">
        <v>spell_3_8_name</v>
      </c>
      <c r="B151" s="1252" t="str">
        <v>法术卡</v>
      </c>
      <c r="C151" s="1252" t="str">
        <v>C69</v>
      </c>
      <c r="D151" s="1252" t="str">
        <v>3环第8个法术名</v>
      </c>
      <c r="E151" t="str">
        <v>input</v>
      </c>
      <c r="F151" t="str">
        <v>conditional</v>
      </c>
    </row>
    <row r="152">
      <c r="A152" s="1252" t="str">
        <v>spell_3_9_prepared</v>
      </c>
      <c r="B152" s="1252" t="str">
        <v>法术卡</v>
      </c>
      <c r="C152" s="1252" t="str">
        <v>A70</v>
      </c>
      <c r="D152" s="1252" t="str">
        <v>3环第9个法术准备标记</v>
      </c>
      <c r="E152" t="str">
        <v>input</v>
      </c>
      <c r="F152" t="str">
        <v>conditional</v>
      </c>
    </row>
    <row r="153">
      <c r="A153" s="1252" t="str">
        <v>spell_3_9_name</v>
      </c>
      <c r="B153" s="1252" t="str">
        <v>法术卡</v>
      </c>
      <c r="C153" s="1252" t="str">
        <v>C70</v>
      </c>
      <c r="D153" s="1252" t="str">
        <v>3环第9个法术名</v>
      </c>
      <c r="E153" t="str">
        <v>input</v>
      </c>
      <c r="F153" t="str">
        <v>conditional</v>
      </c>
    </row>
    <row r="154">
      <c r="A154" s="1252" t="str">
        <v>spell_3_10_prepared</v>
      </c>
      <c r="B154" s="1252" t="str">
        <v>法术卡</v>
      </c>
      <c r="C154" s="1252" t="str">
        <v>A71</v>
      </c>
      <c r="D154" s="1252" t="str">
        <v>3环第10个法术准备标记</v>
      </c>
      <c r="E154" t="str">
        <v>input</v>
      </c>
      <c r="F154" t="str">
        <v>conditional</v>
      </c>
    </row>
    <row r="155">
      <c r="A155" s="1252" t="str">
        <v>spell_3_10_name</v>
      </c>
      <c r="B155" s="1252" t="str">
        <v>法术卡</v>
      </c>
      <c r="C155" s="1252" t="str">
        <v>C71</v>
      </c>
      <c r="D155" s="1252" t="str">
        <v>3环第10个法术名</v>
      </c>
      <c r="E155" t="str">
        <v>input</v>
      </c>
      <c r="F155" t="str">
        <v>conditional</v>
      </c>
    </row>
    <row r="156">
      <c r="A156" s="1252" t="str">
        <v>spell_4_1_prepared</v>
      </c>
      <c r="B156" s="1252" t="str">
        <v>法术卡</v>
      </c>
      <c r="C156" s="1252" t="str">
        <v>A80</v>
      </c>
      <c r="D156" s="1252" t="str">
        <v>4环第1个法术准备标记</v>
      </c>
      <c r="E156" t="str">
        <v>input</v>
      </c>
      <c r="F156" t="str">
        <v>conditional</v>
      </c>
    </row>
    <row r="157">
      <c r="A157" s="1252" t="str">
        <v>spell_4_1_name</v>
      </c>
      <c r="B157" s="1252" t="str">
        <v>法术卡</v>
      </c>
      <c r="C157" s="1252" t="str">
        <v>C80</v>
      </c>
      <c r="D157" s="1252" t="str">
        <v>4环第1个法术名</v>
      </c>
      <c r="E157" t="str">
        <v>input</v>
      </c>
      <c r="F157" t="str">
        <v>conditional</v>
      </c>
    </row>
    <row r="158">
      <c r="A158" s="1252" t="str">
        <v>spell_4_2_prepared</v>
      </c>
      <c r="B158" s="1252" t="str">
        <v>法术卡</v>
      </c>
      <c r="C158" s="1252" t="str">
        <v>A81</v>
      </c>
      <c r="D158" s="1252" t="str">
        <v>4环第2个法术准备标记</v>
      </c>
      <c r="E158" t="str">
        <v>input</v>
      </c>
      <c r="F158" t="str">
        <v>conditional</v>
      </c>
    </row>
    <row r="159">
      <c r="A159" s="1252" t="str">
        <v>spell_4_2_name</v>
      </c>
      <c r="B159" s="1252" t="str">
        <v>法术卡</v>
      </c>
      <c r="C159" s="1252" t="str">
        <v>C81</v>
      </c>
      <c r="D159" s="1252" t="str">
        <v>4环第2个法术名</v>
      </c>
      <c r="E159" t="str">
        <v>input</v>
      </c>
      <c r="F159" t="str">
        <v>conditional</v>
      </c>
    </row>
    <row r="160">
      <c r="A160" s="1252" t="str">
        <v>spell_4_3_prepared</v>
      </c>
      <c r="B160" s="1252" t="str">
        <v>法术卡</v>
      </c>
      <c r="C160" s="1252" t="str">
        <v>A82</v>
      </c>
      <c r="D160" s="1252" t="str">
        <v>4环第3个法术准备标记</v>
      </c>
      <c r="E160" t="str">
        <v>input</v>
      </c>
      <c r="F160" t="str">
        <v>conditional</v>
      </c>
    </row>
    <row r="161">
      <c r="A161" s="1252" t="str">
        <v>spell_4_3_name</v>
      </c>
      <c r="B161" s="1252" t="str">
        <v>法术卡</v>
      </c>
      <c r="C161" s="1252" t="str">
        <v>C82</v>
      </c>
      <c r="D161" s="1252" t="str">
        <v>4环第3个法术名</v>
      </c>
      <c r="E161" t="str">
        <v>input</v>
      </c>
      <c r="F161" t="str">
        <v>conditional</v>
      </c>
    </row>
    <row r="162">
      <c r="A162" s="1252" t="str">
        <v>spell_4_4_prepared</v>
      </c>
      <c r="B162" s="1252" t="str">
        <v>法术卡</v>
      </c>
      <c r="C162" s="1252" t="str">
        <v>A83</v>
      </c>
      <c r="D162" s="1252" t="str">
        <v>4环第4个法术准备标记</v>
      </c>
      <c r="E162" t="str">
        <v>input</v>
      </c>
      <c r="F162" t="str">
        <v>conditional</v>
      </c>
    </row>
    <row r="163">
      <c r="A163" s="1252" t="str">
        <v>spell_4_4_name</v>
      </c>
      <c r="B163" s="1252" t="str">
        <v>法术卡</v>
      </c>
      <c r="C163" s="1252" t="str">
        <v>C83</v>
      </c>
      <c r="D163" s="1252" t="str">
        <v>4环第4个法术名</v>
      </c>
      <c r="E163" t="str">
        <v>input</v>
      </c>
      <c r="F163" t="str">
        <v>conditional</v>
      </c>
    </row>
    <row r="164">
      <c r="A164" s="1252" t="str">
        <v>spell_4_5_prepared</v>
      </c>
      <c r="B164" s="1252" t="str">
        <v>法术卡</v>
      </c>
      <c r="C164" s="1252" t="str">
        <v>A84</v>
      </c>
      <c r="D164" s="1252" t="str">
        <v>4环第5个法术准备标记</v>
      </c>
      <c r="E164" t="str">
        <v>input</v>
      </c>
      <c r="F164" t="str">
        <v>conditional</v>
      </c>
    </row>
    <row r="165">
      <c r="A165" s="1252" t="str">
        <v>spell_4_5_name</v>
      </c>
      <c r="B165" s="1252" t="str">
        <v>法术卡</v>
      </c>
      <c r="C165" s="1252" t="str">
        <v>C84</v>
      </c>
      <c r="D165" s="1252" t="str">
        <v>4环第5个法术名</v>
      </c>
      <c r="E165" t="str">
        <v>input</v>
      </c>
      <c r="F165" t="str">
        <v>conditional</v>
      </c>
    </row>
    <row r="166">
      <c r="A166" s="1252" t="str">
        <v>spell_4_6_prepared</v>
      </c>
      <c r="B166" s="1252" t="str">
        <v>法术卡</v>
      </c>
      <c r="C166" s="1252" t="str">
        <v>A85</v>
      </c>
      <c r="D166" s="1252" t="str">
        <v>4环第6个法术准备标记</v>
      </c>
      <c r="E166" t="str">
        <v>input</v>
      </c>
      <c r="F166" t="str">
        <v>conditional</v>
      </c>
    </row>
    <row r="167">
      <c r="A167" s="1252" t="str">
        <v>spell_4_6_name</v>
      </c>
      <c r="B167" s="1252" t="str">
        <v>法术卡</v>
      </c>
      <c r="C167" s="1252" t="str">
        <v>C85</v>
      </c>
      <c r="D167" s="1252" t="str">
        <v>4环第6个法术名</v>
      </c>
      <c r="E167" t="str">
        <v>input</v>
      </c>
      <c r="F167" t="str">
        <v>conditional</v>
      </c>
    </row>
    <row r="168">
      <c r="A168" s="1252" t="str">
        <v>spell_4_7_prepared</v>
      </c>
      <c r="B168" s="1252" t="str">
        <v>法术卡</v>
      </c>
      <c r="C168" s="1252" t="str">
        <v>A86</v>
      </c>
      <c r="D168" s="1252" t="str">
        <v>4环第7个法术准备标记</v>
      </c>
      <c r="E168" t="str">
        <v>input</v>
      </c>
      <c r="F168" t="str">
        <v>conditional</v>
      </c>
    </row>
    <row r="169">
      <c r="A169" s="1252" t="str">
        <v>spell_4_7_name</v>
      </c>
      <c r="B169" s="1252" t="str">
        <v>法术卡</v>
      </c>
      <c r="C169" s="1252" t="str">
        <v>C86</v>
      </c>
      <c r="D169" s="1252" t="str">
        <v>4环第7个法术名</v>
      </c>
      <c r="E169" t="str">
        <v>input</v>
      </c>
      <c r="F169" t="str">
        <v>conditional</v>
      </c>
    </row>
    <row r="170">
      <c r="A170" s="1252" t="str">
        <v>spell_4_8_prepared</v>
      </c>
      <c r="B170" s="1252" t="str">
        <v>法术卡</v>
      </c>
      <c r="C170" s="1252" t="str">
        <v>A87</v>
      </c>
      <c r="D170" s="1252" t="str">
        <v>4环第8个法术准备标记</v>
      </c>
      <c r="E170" t="str">
        <v>input</v>
      </c>
      <c r="F170" t="str">
        <v>conditional</v>
      </c>
    </row>
    <row r="171">
      <c r="A171" s="1252" t="str">
        <v>spell_4_8_name</v>
      </c>
      <c r="B171" s="1252" t="str">
        <v>法术卡</v>
      </c>
      <c r="C171" s="1252" t="str">
        <v>C87</v>
      </c>
      <c r="D171" s="1252" t="str">
        <v>4环第8个法术名</v>
      </c>
      <c r="E171" t="str">
        <v>input</v>
      </c>
      <c r="F171" t="str">
        <v>conditional</v>
      </c>
    </row>
    <row r="172">
      <c r="A172" s="1252" t="str">
        <v>spell_4_9_prepared</v>
      </c>
      <c r="B172" s="1252" t="str">
        <v>法术卡</v>
      </c>
      <c r="C172" s="1252" t="str">
        <v>A88</v>
      </c>
      <c r="D172" s="1252" t="str">
        <v>4环第9个法术准备标记</v>
      </c>
      <c r="E172" t="str">
        <v>input</v>
      </c>
      <c r="F172" t="str">
        <v>conditional</v>
      </c>
    </row>
    <row r="173">
      <c r="A173" s="1252" t="str">
        <v>spell_4_9_name</v>
      </c>
      <c r="B173" s="1252" t="str">
        <v>法术卡</v>
      </c>
      <c r="C173" s="1252" t="str">
        <v>C88</v>
      </c>
      <c r="D173" s="1252" t="str">
        <v>4环第9个法术名</v>
      </c>
      <c r="E173" t="str">
        <v>input</v>
      </c>
      <c r="F173" t="str">
        <v>conditional</v>
      </c>
    </row>
    <row r="174">
      <c r="A174" s="1252" t="str">
        <v>spell_4_10_prepared</v>
      </c>
      <c r="B174" s="1252" t="str">
        <v>法术卡</v>
      </c>
      <c r="C174" s="1252" t="str">
        <v>A89</v>
      </c>
      <c r="D174" s="1252" t="str">
        <v>4环第10个法术准备标记</v>
      </c>
      <c r="E174" t="str">
        <v>input</v>
      </c>
      <c r="F174" t="str">
        <v>conditional</v>
      </c>
    </row>
    <row r="175">
      <c r="A175" s="1252" t="str">
        <v>spell_4_10_name</v>
      </c>
      <c r="B175" s="1252" t="str">
        <v>法术卡</v>
      </c>
      <c r="C175" s="1252" t="str">
        <v>C89</v>
      </c>
      <c r="D175" s="1252" t="str">
        <v>4环第10个法术名</v>
      </c>
      <c r="E175" t="str">
        <v>input</v>
      </c>
      <c r="F175" t="str">
        <v>conditional</v>
      </c>
    </row>
    <row r="176">
      <c r="A176" s="1252" t="str">
        <v>spell_5_1_prepared</v>
      </c>
      <c r="B176" s="1252" t="str">
        <v>法术卡</v>
      </c>
      <c r="C176" s="1252" t="str">
        <v>T10</v>
      </c>
      <c r="D176" s="1252" t="str">
        <v>5环第1个法术准备标记</v>
      </c>
      <c r="E176" t="str">
        <v>input</v>
      </c>
      <c r="F176" t="str">
        <v>conditional</v>
      </c>
    </row>
    <row r="177">
      <c r="A177" s="1252" t="str">
        <v>spell_5_1_name</v>
      </c>
      <c r="B177" s="1252" t="str">
        <v>法术卡</v>
      </c>
      <c r="C177" s="1252" t="str">
        <v>V10</v>
      </c>
      <c r="D177" s="1252" t="str">
        <v>5环第1个法术名</v>
      </c>
      <c r="E177" t="str">
        <v>input</v>
      </c>
      <c r="F177" t="str">
        <v>conditional</v>
      </c>
    </row>
    <row r="178">
      <c r="A178" s="1252" t="str">
        <v>spell_5_2_prepared</v>
      </c>
      <c r="B178" s="1252" t="str">
        <v>法术卡</v>
      </c>
      <c r="C178" s="1252" t="str">
        <v>T11</v>
      </c>
      <c r="D178" s="1252" t="str">
        <v>5环第2个法术准备标记</v>
      </c>
      <c r="E178" t="str">
        <v>input</v>
      </c>
      <c r="F178" t="str">
        <v>conditional</v>
      </c>
    </row>
    <row r="179">
      <c r="A179" s="1252" t="str">
        <v>spell_5_2_name</v>
      </c>
      <c r="B179" s="1252" t="str">
        <v>法术卡</v>
      </c>
      <c r="C179" s="1252" t="str">
        <v>V11</v>
      </c>
      <c r="D179" s="1252" t="str">
        <v>5环第2个法术名</v>
      </c>
      <c r="E179" t="str">
        <v>input</v>
      </c>
      <c r="F179" t="str">
        <v>conditional</v>
      </c>
    </row>
    <row r="180">
      <c r="A180" s="1252" t="str">
        <v>spell_5_3_prepared</v>
      </c>
      <c r="B180" s="1252" t="str">
        <v>法术卡</v>
      </c>
      <c r="C180" s="1252" t="str">
        <v>T12</v>
      </c>
      <c r="D180" s="1252" t="str">
        <v>5环第3个法术准备标记</v>
      </c>
      <c r="E180" t="str">
        <v>input</v>
      </c>
      <c r="F180" t="str">
        <v>conditional</v>
      </c>
    </row>
    <row r="181">
      <c r="A181" s="1252" t="str">
        <v>spell_5_3_name</v>
      </c>
      <c r="B181" s="1252" t="str">
        <v>法术卡</v>
      </c>
      <c r="C181" s="1252" t="str">
        <v>V12</v>
      </c>
      <c r="D181" s="1252" t="str">
        <v>5环第3个法术名</v>
      </c>
      <c r="E181" t="str">
        <v>input</v>
      </c>
      <c r="F181" t="str">
        <v>conditional</v>
      </c>
    </row>
    <row r="182">
      <c r="A182" s="1252" t="str">
        <v>spell_5_4_prepared</v>
      </c>
      <c r="B182" s="1252" t="str">
        <v>法术卡</v>
      </c>
      <c r="C182" s="1252" t="str">
        <v>T13</v>
      </c>
      <c r="D182" s="1252" t="str">
        <v>5环第4个法术准备标记</v>
      </c>
      <c r="E182" t="str">
        <v>input</v>
      </c>
      <c r="F182" t="str">
        <v>conditional</v>
      </c>
    </row>
    <row r="183">
      <c r="A183" s="1252" t="str">
        <v>spell_5_4_name</v>
      </c>
      <c r="B183" s="1252" t="str">
        <v>法术卡</v>
      </c>
      <c r="C183" s="1252" t="str">
        <v>V13</v>
      </c>
      <c r="D183" s="1252" t="str">
        <v>5环第4个法术名</v>
      </c>
      <c r="E183" t="str">
        <v>input</v>
      </c>
      <c r="F183" t="str">
        <v>conditional</v>
      </c>
    </row>
    <row r="184">
      <c r="A184" s="1252" t="str">
        <v>spell_5_5_prepared</v>
      </c>
      <c r="B184" s="1252" t="str">
        <v>法术卡</v>
      </c>
      <c r="C184" s="1252" t="str">
        <v>T14</v>
      </c>
      <c r="D184" s="1252" t="str">
        <v>5环第5个法术准备标记</v>
      </c>
      <c r="E184" t="str">
        <v>input</v>
      </c>
      <c r="F184" t="str">
        <v>conditional</v>
      </c>
    </row>
    <row r="185">
      <c r="A185" s="1252" t="str">
        <v>spell_5_5_name</v>
      </c>
      <c r="B185" s="1252" t="str">
        <v>法术卡</v>
      </c>
      <c r="C185" s="1252" t="str">
        <v>V14</v>
      </c>
      <c r="D185" s="1252" t="str">
        <v>5环第5个法术名</v>
      </c>
      <c r="E185" t="str">
        <v>input</v>
      </c>
      <c r="F185" t="str">
        <v>conditional</v>
      </c>
    </row>
    <row r="186">
      <c r="A186" s="1252" t="str">
        <v>spell_5_6_prepared</v>
      </c>
      <c r="B186" s="1252" t="str">
        <v>法术卡</v>
      </c>
      <c r="C186" s="1252" t="str">
        <v>T15</v>
      </c>
      <c r="D186" s="1252" t="str">
        <v>5环第6个法术准备标记</v>
      </c>
      <c r="E186" t="str">
        <v>input</v>
      </c>
      <c r="F186" t="str">
        <v>conditional</v>
      </c>
    </row>
    <row r="187">
      <c r="A187" s="1252" t="str">
        <v>spell_5_6_name</v>
      </c>
      <c r="B187" s="1252" t="str">
        <v>法术卡</v>
      </c>
      <c r="C187" s="1252" t="str">
        <v>V15</v>
      </c>
      <c r="D187" s="1252" t="str">
        <v>5环第6个法术名</v>
      </c>
      <c r="E187" t="str">
        <v>input</v>
      </c>
      <c r="F187" t="str">
        <v>conditional</v>
      </c>
    </row>
    <row r="188">
      <c r="A188" s="1252" t="str">
        <v>spell_5_7_prepared</v>
      </c>
      <c r="B188" s="1252" t="str">
        <v>法术卡</v>
      </c>
      <c r="C188" s="1252" t="str">
        <v>T16</v>
      </c>
      <c r="D188" s="1252" t="str">
        <v>5环第7个法术准备标记</v>
      </c>
      <c r="E188" t="str">
        <v>input</v>
      </c>
      <c r="F188" t="str">
        <v>conditional</v>
      </c>
    </row>
    <row r="189">
      <c r="A189" s="1252" t="str">
        <v>spell_5_7_name</v>
      </c>
      <c r="B189" s="1252" t="str">
        <v>法术卡</v>
      </c>
      <c r="C189" s="1252" t="str">
        <v>V16</v>
      </c>
      <c r="D189" s="1252" t="str">
        <v>5环第7个法术名</v>
      </c>
      <c r="E189" t="str">
        <v>input</v>
      </c>
      <c r="F189" t="str">
        <v>conditional</v>
      </c>
    </row>
    <row r="190">
      <c r="A190" s="1252" t="str">
        <v>spell_5_8_prepared</v>
      </c>
      <c r="B190" s="1252" t="str">
        <v>法术卡</v>
      </c>
      <c r="C190" s="1252" t="str">
        <v>T17</v>
      </c>
      <c r="D190" s="1252" t="str">
        <v>5环第8个法术准备标记</v>
      </c>
      <c r="E190" t="str">
        <v>input</v>
      </c>
      <c r="F190" t="str">
        <v>conditional</v>
      </c>
    </row>
    <row r="191">
      <c r="A191" s="1252" t="str">
        <v>spell_5_8_name</v>
      </c>
      <c r="B191" s="1252" t="str">
        <v>法术卡</v>
      </c>
      <c r="C191" s="1252" t="str">
        <v>V17</v>
      </c>
      <c r="D191" s="1252" t="str">
        <v>5环第8个法术名</v>
      </c>
      <c r="E191" t="str">
        <v>input</v>
      </c>
      <c r="F191" t="str">
        <v>conditional</v>
      </c>
    </row>
    <row r="192">
      <c r="A192" s="1252" t="str">
        <v>spell_5_9_prepared</v>
      </c>
      <c r="B192" s="1252" t="str">
        <v>法术卡</v>
      </c>
      <c r="C192" s="1252" t="str">
        <v>T18</v>
      </c>
      <c r="D192" s="1252" t="str">
        <v>5环第9个法术准备标记</v>
      </c>
      <c r="E192" t="str">
        <v>input</v>
      </c>
      <c r="F192" t="str">
        <v>conditional</v>
      </c>
    </row>
    <row r="193">
      <c r="A193" s="1252" t="str">
        <v>spell_5_9_name</v>
      </c>
      <c r="B193" s="1252" t="str">
        <v>法术卡</v>
      </c>
      <c r="C193" s="1252" t="str">
        <v>V18</v>
      </c>
      <c r="D193" s="1252" t="str">
        <v>5环第9个法术名</v>
      </c>
      <c r="E193" t="str">
        <v>input</v>
      </c>
      <c r="F193" t="str">
        <v>conditional</v>
      </c>
    </row>
    <row r="194">
      <c r="A194" s="1252" t="str">
        <v>spell_5_10_prepared</v>
      </c>
      <c r="B194" s="1252" t="str">
        <v>法术卡</v>
      </c>
      <c r="C194" s="1252" t="str">
        <v>T19</v>
      </c>
      <c r="D194" s="1252" t="str">
        <v>5环第10个法术准备标记</v>
      </c>
      <c r="E194" t="str">
        <v>input</v>
      </c>
      <c r="F194" t="str">
        <v>conditional</v>
      </c>
    </row>
    <row r="195">
      <c r="A195" s="1252" t="str">
        <v>spell_5_10_name</v>
      </c>
      <c r="B195" s="1252" t="str">
        <v>法术卡</v>
      </c>
      <c r="C195" s="1252" t="str">
        <v>V19</v>
      </c>
      <c r="D195" s="1252" t="str">
        <v>5环第10个法术名</v>
      </c>
      <c r="E195" t="str">
        <v>input</v>
      </c>
      <c r="F195" t="str">
        <v>conditional</v>
      </c>
    </row>
    <row r="196">
      <c r="A196" s="1252" t="str">
        <v>spell_6_1_prepared</v>
      </c>
      <c r="B196" s="1252" t="str">
        <v>法术卡</v>
      </c>
      <c r="C196" s="1252" t="str">
        <v>T28</v>
      </c>
      <c r="D196" s="1252" t="str">
        <v>6环第1个法术准备标记</v>
      </c>
      <c r="E196" t="str">
        <v>input</v>
      </c>
      <c r="F196" t="str">
        <v>conditional</v>
      </c>
    </row>
    <row r="197">
      <c r="A197" s="1252" t="str">
        <v>spell_6_1_name</v>
      </c>
      <c r="B197" s="1252" t="str">
        <v>法术卡</v>
      </c>
      <c r="C197" s="1252" t="str">
        <v>V28</v>
      </c>
      <c r="D197" s="1252" t="str">
        <v>6环第1个法术名</v>
      </c>
      <c r="E197" t="str">
        <v>input</v>
      </c>
      <c r="F197" t="str">
        <v>conditional</v>
      </c>
    </row>
    <row r="198">
      <c r="A198" s="1252" t="str">
        <v>spell_6_2_prepared</v>
      </c>
      <c r="B198" s="1252" t="str">
        <v>法术卡</v>
      </c>
      <c r="C198" s="1252" t="str">
        <v>T29</v>
      </c>
      <c r="D198" s="1252" t="str">
        <v>6环第2个法术准备标记</v>
      </c>
      <c r="E198" t="str">
        <v>input</v>
      </c>
      <c r="F198" t="str">
        <v>conditional</v>
      </c>
    </row>
    <row r="199">
      <c r="A199" s="1252" t="str">
        <v>spell_6_2_name</v>
      </c>
      <c r="B199" s="1252" t="str">
        <v>法术卡</v>
      </c>
      <c r="C199" s="1252" t="str">
        <v>V29</v>
      </c>
      <c r="D199" s="1252" t="str">
        <v>6环第2个法术名</v>
      </c>
      <c r="E199" t="str">
        <v>input</v>
      </c>
      <c r="F199" t="str">
        <v>conditional</v>
      </c>
    </row>
    <row r="200">
      <c r="A200" s="1252" t="str">
        <v>spell_6_3_prepared</v>
      </c>
      <c r="B200" s="1252" t="str">
        <v>法术卡</v>
      </c>
      <c r="C200" s="1252" t="str">
        <v>T30</v>
      </c>
      <c r="D200" s="1252" t="str">
        <v>6环第3个法术准备标记</v>
      </c>
      <c r="E200" t="str">
        <v>input</v>
      </c>
      <c r="F200" t="str">
        <v>conditional</v>
      </c>
    </row>
    <row r="201">
      <c r="A201" s="1252" t="str">
        <v>spell_6_3_name</v>
      </c>
      <c r="B201" s="1252" t="str">
        <v>法术卡</v>
      </c>
      <c r="C201" s="1252" t="str">
        <v>V30</v>
      </c>
      <c r="D201" s="1252" t="str">
        <v>6环第3个法术名</v>
      </c>
      <c r="E201" t="str">
        <v>input</v>
      </c>
      <c r="F201" t="str">
        <v>conditional</v>
      </c>
    </row>
    <row r="202">
      <c r="A202" s="1252" t="str">
        <v>spell_6_4_prepared</v>
      </c>
      <c r="B202" s="1252" t="str">
        <v>法术卡</v>
      </c>
      <c r="C202" s="1252" t="str">
        <v>T31</v>
      </c>
      <c r="D202" s="1252" t="str">
        <v>6环第4个法术准备标记</v>
      </c>
      <c r="E202" t="str">
        <v>input</v>
      </c>
      <c r="F202" t="str">
        <v>conditional</v>
      </c>
    </row>
    <row r="203">
      <c r="A203" s="1252" t="str">
        <v>spell_6_4_name</v>
      </c>
      <c r="B203" s="1252" t="str">
        <v>法术卡</v>
      </c>
      <c r="C203" s="1252" t="str">
        <v>V31</v>
      </c>
      <c r="D203" s="1252" t="str">
        <v>6环第4个法术名</v>
      </c>
      <c r="E203" t="str">
        <v>input</v>
      </c>
      <c r="F203" t="str">
        <v>conditional</v>
      </c>
    </row>
    <row r="204">
      <c r="A204" s="1252" t="str">
        <v>spell_6_5_prepared</v>
      </c>
      <c r="B204" s="1252" t="str">
        <v>法术卡</v>
      </c>
      <c r="C204" s="1252" t="str">
        <v>T32</v>
      </c>
      <c r="D204" s="1252" t="str">
        <v>6环第5个法术准备标记</v>
      </c>
      <c r="E204" t="str">
        <v>input</v>
      </c>
      <c r="F204" t="str">
        <v>conditional</v>
      </c>
    </row>
    <row r="205">
      <c r="A205" s="1252" t="str">
        <v>spell_6_5_name</v>
      </c>
      <c r="B205" s="1252" t="str">
        <v>法术卡</v>
      </c>
      <c r="C205" s="1252" t="str">
        <v>V32</v>
      </c>
      <c r="D205" s="1252" t="str">
        <v>6环第5个法术名</v>
      </c>
      <c r="E205" t="str">
        <v>input</v>
      </c>
      <c r="F205" t="str">
        <v>conditional</v>
      </c>
    </row>
    <row r="206">
      <c r="A206" s="1252" t="str">
        <v>spell_6_6_prepared</v>
      </c>
      <c r="B206" s="1252" t="str">
        <v>法术卡</v>
      </c>
      <c r="C206" s="1252" t="str">
        <v>T33</v>
      </c>
      <c r="D206" s="1252" t="str">
        <v>6环第6个法术准备标记</v>
      </c>
      <c r="E206" t="str">
        <v>input</v>
      </c>
      <c r="F206" t="str">
        <v>conditional</v>
      </c>
    </row>
    <row r="207">
      <c r="A207" s="1252" t="str">
        <v>spell_6_6_name</v>
      </c>
      <c r="B207" s="1252" t="str">
        <v>法术卡</v>
      </c>
      <c r="C207" s="1252" t="str">
        <v>V33</v>
      </c>
      <c r="D207" s="1252" t="str">
        <v>6环第6个法术名</v>
      </c>
      <c r="E207" t="str">
        <v>input</v>
      </c>
      <c r="F207" t="str">
        <v>conditional</v>
      </c>
    </row>
    <row r="208">
      <c r="A208" s="1252" t="str">
        <v>spell_6_7_prepared</v>
      </c>
      <c r="B208" s="1252" t="str">
        <v>法术卡</v>
      </c>
      <c r="C208" s="1252" t="str">
        <v>T34</v>
      </c>
      <c r="D208" s="1252" t="str">
        <v>6环第7个法术准备标记</v>
      </c>
      <c r="E208" t="str">
        <v>input</v>
      </c>
      <c r="F208" t="str">
        <v>conditional</v>
      </c>
    </row>
    <row r="209">
      <c r="A209" s="1252" t="str">
        <v>spell_6_7_name</v>
      </c>
      <c r="B209" s="1252" t="str">
        <v>法术卡</v>
      </c>
      <c r="C209" s="1252" t="str">
        <v>V34</v>
      </c>
      <c r="D209" s="1252" t="str">
        <v>6环第7个法术名</v>
      </c>
      <c r="E209" t="str">
        <v>input</v>
      </c>
      <c r="F209" t="str">
        <v>conditional</v>
      </c>
    </row>
    <row r="210">
      <c r="A210" s="1252" t="str">
        <v>spell_6_8_prepared</v>
      </c>
      <c r="B210" s="1252" t="str">
        <v>法术卡</v>
      </c>
      <c r="C210" s="1252" t="str">
        <v>T35</v>
      </c>
      <c r="D210" s="1252" t="str">
        <v>6环第8个法术准备标记</v>
      </c>
      <c r="E210" t="str">
        <v>input</v>
      </c>
      <c r="F210" t="str">
        <v>conditional</v>
      </c>
    </row>
    <row r="211">
      <c r="A211" s="1252" t="str">
        <v>spell_6_8_name</v>
      </c>
      <c r="B211" s="1252" t="str">
        <v>法术卡</v>
      </c>
      <c r="C211" s="1252" t="str">
        <v>V35</v>
      </c>
      <c r="D211" s="1252" t="str">
        <v>6环第8个法术名</v>
      </c>
      <c r="E211" t="str">
        <v>input</v>
      </c>
      <c r="F211" t="str">
        <v>conditional</v>
      </c>
    </row>
    <row r="212">
      <c r="A212" s="1252" t="str">
        <v>spell_6_9_prepared</v>
      </c>
      <c r="B212" s="1252" t="str">
        <v>法术卡</v>
      </c>
      <c r="C212" s="1252" t="str">
        <v>T36</v>
      </c>
      <c r="D212" s="1252" t="str">
        <v>6环第9个法术准备标记</v>
      </c>
      <c r="E212" t="str">
        <v>input</v>
      </c>
      <c r="F212" t="str">
        <v>conditional</v>
      </c>
    </row>
    <row r="213">
      <c r="A213" s="1252" t="str">
        <v>spell_6_9_name</v>
      </c>
      <c r="B213" s="1252" t="str">
        <v>法术卡</v>
      </c>
      <c r="C213" s="1252" t="str">
        <v>V36</v>
      </c>
      <c r="D213" s="1252" t="str">
        <v>6环第9个法术名</v>
      </c>
      <c r="E213" t="str">
        <v>input</v>
      </c>
      <c r="F213" t="str">
        <v>conditional</v>
      </c>
    </row>
    <row r="214">
      <c r="A214" s="1252" t="str">
        <v>spell_6_10_prepared</v>
      </c>
      <c r="B214" s="1252" t="str">
        <v>法术卡</v>
      </c>
      <c r="C214" s="1252" t="str">
        <v>T37</v>
      </c>
      <c r="D214" s="1252" t="str">
        <v>6环第10个法术准备标记</v>
      </c>
      <c r="E214" t="str">
        <v>input</v>
      </c>
      <c r="F214" t="str">
        <v>conditional</v>
      </c>
    </row>
    <row r="215">
      <c r="A215" s="1252" t="str">
        <v>spell_6_10_name</v>
      </c>
      <c r="B215" s="1252" t="str">
        <v>法术卡</v>
      </c>
      <c r="C215" s="1252" t="str">
        <v>V37</v>
      </c>
      <c r="D215" s="1252" t="str">
        <v>6环第10个法术名</v>
      </c>
      <c r="E215" t="str">
        <v>input</v>
      </c>
      <c r="F215" t="str">
        <v>conditional</v>
      </c>
    </row>
    <row r="216">
      <c r="A216" s="1252" t="str">
        <v>spell_7_1_prepared</v>
      </c>
      <c r="B216" s="1252" t="str">
        <v>法术卡</v>
      </c>
      <c r="C216" s="1252" t="str">
        <v>T46</v>
      </c>
      <c r="D216" s="1252" t="str">
        <v>7环第1个法术准备标记</v>
      </c>
      <c r="E216" t="str">
        <v>input</v>
      </c>
      <c r="F216" t="str">
        <v>conditional</v>
      </c>
    </row>
    <row r="217">
      <c r="A217" s="1252" t="str">
        <v>spell_7_1_name</v>
      </c>
      <c r="B217" s="1252" t="str">
        <v>法术卡</v>
      </c>
      <c r="C217" s="1252" t="str">
        <v>V46</v>
      </c>
      <c r="D217" s="1252" t="str">
        <v>7环第1个法术名</v>
      </c>
      <c r="E217" t="str">
        <v>input</v>
      </c>
      <c r="F217" t="str">
        <v>conditional</v>
      </c>
    </row>
    <row r="218">
      <c r="A218" s="1252" t="str">
        <v>spell_7_2_prepared</v>
      </c>
      <c r="B218" s="1252" t="str">
        <v>法术卡</v>
      </c>
      <c r="C218" s="1252" t="str">
        <v>T47</v>
      </c>
      <c r="D218" s="1252" t="str">
        <v>7环第2个法术准备标记</v>
      </c>
      <c r="E218" t="str">
        <v>input</v>
      </c>
      <c r="F218" t="str">
        <v>conditional</v>
      </c>
    </row>
    <row r="219">
      <c r="A219" s="1252" t="str">
        <v>spell_7_2_name</v>
      </c>
      <c r="B219" s="1252" t="str">
        <v>法术卡</v>
      </c>
      <c r="C219" s="1252" t="str">
        <v>V47</v>
      </c>
      <c r="D219" s="1252" t="str">
        <v>7环第2个法术名</v>
      </c>
      <c r="E219" t="str">
        <v>input</v>
      </c>
      <c r="F219" t="str">
        <v>conditional</v>
      </c>
    </row>
    <row r="220">
      <c r="A220" s="1252" t="str">
        <v>spell_7_3_prepared</v>
      </c>
      <c r="B220" s="1252" t="str">
        <v>法术卡</v>
      </c>
      <c r="C220" s="1252" t="str">
        <v>T48</v>
      </c>
      <c r="D220" s="1252" t="str">
        <v>7环第3个法术准备标记</v>
      </c>
      <c r="E220" t="str">
        <v>input</v>
      </c>
      <c r="F220" t="str">
        <v>conditional</v>
      </c>
    </row>
    <row r="221">
      <c r="A221" s="1252" t="str">
        <v>spell_7_3_name</v>
      </c>
      <c r="B221" s="1252" t="str">
        <v>法术卡</v>
      </c>
      <c r="C221" s="1252" t="str">
        <v>V48</v>
      </c>
      <c r="D221" s="1252" t="str">
        <v>7环第3个法术名</v>
      </c>
      <c r="E221" t="str">
        <v>input</v>
      </c>
      <c r="F221" t="str">
        <v>conditional</v>
      </c>
    </row>
    <row r="222">
      <c r="A222" s="1252" t="str">
        <v>spell_7_4_prepared</v>
      </c>
      <c r="B222" s="1252" t="str">
        <v>法术卡</v>
      </c>
      <c r="C222" s="1252" t="str">
        <v>T49</v>
      </c>
      <c r="D222" s="1252" t="str">
        <v>7环第4个法术准备标记</v>
      </c>
      <c r="E222" t="str">
        <v>input</v>
      </c>
      <c r="F222" t="str">
        <v>conditional</v>
      </c>
    </row>
    <row r="223">
      <c r="A223" s="1252" t="str">
        <v>spell_7_4_name</v>
      </c>
      <c r="B223" s="1252" t="str">
        <v>法术卡</v>
      </c>
      <c r="C223" s="1252" t="str">
        <v>V49</v>
      </c>
      <c r="D223" s="1252" t="str">
        <v>7环第4个法术名</v>
      </c>
      <c r="E223" t="str">
        <v>input</v>
      </c>
      <c r="F223" t="str">
        <v>conditional</v>
      </c>
    </row>
    <row r="224">
      <c r="A224" s="1252" t="str">
        <v>spell_7_5_prepared</v>
      </c>
      <c r="B224" s="1252" t="str">
        <v>法术卡</v>
      </c>
      <c r="C224" s="1252" t="str">
        <v>T50</v>
      </c>
      <c r="D224" s="1252" t="str">
        <v>7环第5个法术准备标记</v>
      </c>
      <c r="E224" t="str">
        <v>input</v>
      </c>
      <c r="F224" t="str">
        <v>conditional</v>
      </c>
    </row>
    <row r="225">
      <c r="A225" s="1252" t="str">
        <v>spell_7_5_name</v>
      </c>
      <c r="B225" s="1252" t="str">
        <v>法术卡</v>
      </c>
      <c r="C225" s="1252" t="str">
        <v>V50</v>
      </c>
      <c r="D225" s="1252" t="str">
        <v>7环第5个法术名</v>
      </c>
      <c r="E225" t="str">
        <v>input</v>
      </c>
      <c r="F225" t="str">
        <v>conditional</v>
      </c>
    </row>
    <row r="226">
      <c r="A226" s="1252" t="str">
        <v>spell_7_6_prepared</v>
      </c>
      <c r="B226" s="1252" t="str">
        <v>法术卡</v>
      </c>
      <c r="C226" s="1252" t="str">
        <v>T51</v>
      </c>
      <c r="D226" s="1252" t="str">
        <v>7环第6个法术准备标记</v>
      </c>
      <c r="E226" t="str">
        <v>input</v>
      </c>
      <c r="F226" t="str">
        <v>conditional</v>
      </c>
    </row>
    <row r="227">
      <c r="A227" s="1252" t="str">
        <v>spell_7_6_name</v>
      </c>
      <c r="B227" s="1252" t="str">
        <v>法术卡</v>
      </c>
      <c r="C227" s="1252" t="str">
        <v>V51</v>
      </c>
      <c r="D227" s="1252" t="str">
        <v>7环第6个法术名</v>
      </c>
      <c r="E227" t="str">
        <v>input</v>
      </c>
      <c r="F227" t="str">
        <v>conditional</v>
      </c>
    </row>
    <row r="228">
      <c r="A228" s="1252" t="str">
        <v>spell_7_7_prepared</v>
      </c>
      <c r="B228" s="1252" t="str">
        <v>法术卡</v>
      </c>
      <c r="C228" s="1252" t="str">
        <v>T52</v>
      </c>
      <c r="D228" s="1252" t="str">
        <v>7环第7个法术准备标记</v>
      </c>
      <c r="E228" t="str">
        <v>input</v>
      </c>
      <c r="F228" t="str">
        <v>conditional</v>
      </c>
    </row>
    <row r="229">
      <c r="A229" s="1252" t="str">
        <v>spell_7_7_name</v>
      </c>
      <c r="B229" s="1252" t="str">
        <v>法术卡</v>
      </c>
      <c r="C229" s="1252" t="str">
        <v>V52</v>
      </c>
      <c r="D229" s="1252" t="str">
        <v>7环第7个法术名</v>
      </c>
      <c r="E229" t="str">
        <v>input</v>
      </c>
      <c r="F229" t="str">
        <v>conditional</v>
      </c>
    </row>
    <row r="230">
      <c r="A230" s="1252" t="str">
        <v>spell_7_8_prepared</v>
      </c>
      <c r="B230" s="1252" t="str">
        <v>法术卡</v>
      </c>
      <c r="C230" s="1252" t="str">
        <v>T53</v>
      </c>
      <c r="D230" s="1252" t="str">
        <v>7环第8个法术准备标记</v>
      </c>
      <c r="E230" t="str">
        <v>input</v>
      </c>
      <c r="F230" t="str">
        <v>conditional</v>
      </c>
    </row>
    <row r="231">
      <c r="A231" s="1252" t="str">
        <v>spell_7_8_name</v>
      </c>
      <c r="B231" s="1252" t="str">
        <v>法术卡</v>
      </c>
      <c r="C231" s="1252" t="str">
        <v>V53</v>
      </c>
      <c r="D231" s="1252" t="str">
        <v>7环第8个法术名</v>
      </c>
      <c r="E231" t="str">
        <v>input</v>
      </c>
      <c r="F231" t="str">
        <v>conditional</v>
      </c>
    </row>
    <row r="232">
      <c r="A232" s="1252" t="str">
        <v>spell_7_9_prepared</v>
      </c>
      <c r="B232" s="1252" t="str">
        <v>法术卡</v>
      </c>
      <c r="C232" s="1252" t="str">
        <v>T54</v>
      </c>
      <c r="D232" s="1252" t="str">
        <v>7环第9个法术准备标记</v>
      </c>
      <c r="E232" t="str">
        <v>input</v>
      </c>
      <c r="F232" t="str">
        <v>conditional</v>
      </c>
    </row>
    <row r="233">
      <c r="A233" s="1252" t="str">
        <v>spell_7_9_name</v>
      </c>
      <c r="B233" s="1252" t="str">
        <v>法术卡</v>
      </c>
      <c r="C233" s="1252" t="str">
        <v>V54</v>
      </c>
      <c r="D233" s="1252" t="str">
        <v>7环第9个法术名</v>
      </c>
      <c r="E233" t="str">
        <v>input</v>
      </c>
      <c r="F233" t="str">
        <v>conditional</v>
      </c>
    </row>
    <row r="234">
      <c r="A234" s="1252" t="str">
        <v>spell_7_10_prepared</v>
      </c>
      <c r="B234" s="1252" t="str">
        <v>法术卡</v>
      </c>
      <c r="C234" s="1252" t="str">
        <v>T55</v>
      </c>
      <c r="D234" s="1252" t="str">
        <v>7环第10个法术准备标记</v>
      </c>
      <c r="E234" t="str">
        <v>input</v>
      </c>
      <c r="F234" t="str">
        <v>conditional</v>
      </c>
    </row>
    <row r="235">
      <c r="A235" s="1252" t="str">
        <v>spell_7_10_name</v>
      </c>
      <c r="B235" s="1252" t="str">
        <v>法术卡</v>
      </c>
      <c r="C235" s="1252" t="str">
        <v>V55</v>
      </c>
      <c r="D235" s="1252" t="str">
        <v>7环第10个法术名</v>
      </c>
      <c r="E235" t="str">
        <v>input</v>
      </c>
      <c r="F235" t="str">
        <v>conditional</v>
      </c>
    </row>
    <row r="236">
      <c r="A236" s="1252" t="str">
        <v>spell_8_1_prepared</v>
      </c>
      <c r="B236" s="1252" t="str">
        <v>法术卡</v>
      </c>
      <c r="C236" s="1252" t="str">
        <v>T64</v>
      </c>
      <c r="D236" s="1252" t="str">
        <v>8环第1个法术准备标记</v>
      </c>
      <c r="E236" t="str">
        <v>input</v>
      </c>
      <c r="F236" t="str">
        <v>conditional</v>
      </c>
    </row>
    <row r="237">
      <c r="A237" s="1252" t="str">
        <v>spell_8_1_name</v>
      </c>
      <c r="B237" s="1252" t="str">
        <v>法术卡</v>
      </c>
      <c r="C237" s="1252" t="str">
        <v>V64</v>
      </c>
      <c r="D237" s="1252" t="str">
        <v>8环第1个法术名</v>
      </c>
      <c r="E237" t="str">
        <v>input</v>
      </c>
      <c r="F237" t="str">
        <v>conditional</v>
      </c>
    </row>
    <row r="238">
      <c r="A238" s="1252" t="str">
        <v>spell_8_2_prepared</v>
      </c>
      <c r="B238" s="1252" t="str">
        <v>法术卡</v>
      </c>
      <c r="C238" s="1252" t="str">
        <v>T65</v>
      </c>
      <c r="D238" s="1252" t="str">
        <v>8环第2个法术准备标记</v>
      </c>
      <c r="E238" t="str">
        <v>input</v>
      </c>
      <c r="F238" t="str">
        <v>conditional</v>
      </c>
    </row>
    <row r="239">
      <c r="A239" s="1252" t="str">
        <v>spell_8_2_name</v>
      </c>
      <c r="B239" s="1252" t="str">
        <v>法术卡</v>
      </c>
      <c r="C239" s="1252" t="str">
        <v>V65</v>
      </c>
      <c r="D239" s="1252" t="str">
        <v>8环第2个法术名</v>
      </c>
      <c r="E239" t="str">
        <v>input</v>
      </c>
      <c r="F239" t="str">
        <v>conditional</v>
      </c>
    </row>
    <row r="240">
      <c r="A240" s="1252" t="str">
        <v>spell_8_3_prepared</v>
      </c>
      <c r="B240" s="1252" t="str">
        <v>法术卡</v>
      </c>
      <c r="C240" s="1252" t="str">
        <v>T66</v>
      </c>
      <c r="D240" s="1252" t="str">
        <v>8环第3个法术准备标记</v>
      </c>
      <c r="E240" t="str">
        <v>input</v>
      </c>
      <c r="F240" t="str">
        <v>conditional</v>
      </c>
    </row>
    <row r="241">
      <c r="A241" s="1252" t="str">
        <v>spell_8_3_name</v>
      </c>
      <c r="B241" s="1252" t="str">
        <v>法术卡</v>
      </c>
      <c r="C241" s="1252" t="str">
        <v>V66</v>
      </c>
      <c r="D241" s="1252" t="str">
        <v>8环第3个法术名</v>
      </c>
      <c r="E241" t="str">
        <v>input</v>
      </c>
      <c r="F241" t="str">
        <v>conditional</v>
      </c>
    </row>
    <row r="242">
      <c r="A242" s="1252" t="str">
        <v>spell_8_4_prepared</v>
      </c>
      <c r="B242" s="1252" t="str">
        <v>法术卡</v>
      </c>
      <c r="C242" s="1252" t="str">
        <v>T67</v>
      </c>
      <c r="D242" s="1252" t="str">
        <v>8环第4个法术准备标记</v>
      </c>
      <c r="E242" t="str">
        <v>input</v>
      </c>
      <c r="F242" t="str">
        <v>conditional</v>
      </c>
    </row>
    <row r="243">
      <c r="A243" s="1252" t="str">
        <v>spell_8_4_name</v>
      </c>
      <c r="B243" s="1252" t="str">
        <v>法术卡</v>
      </c>
      <c r="C243" s="1252" t="str">
        <v>V67</v>
      </c>
      <c r="D243" s="1252" t="str">
        <v>8环第4个法术名</v>
      </c>
      <c r="E243" t="str">
        <v>input</v>
      </c>
      <c r="F243" t="str">
        <v>conditional</v>
      </c>
    </row>
    <row r="244">
      <c r="A244" s="1252" t="str">
        <v>spell_8_5_prepared</v>
      </c>
      <c r="B244" s="1252" t="str">
        <v>法术卡</v>
      </c>
      <c r="C244" s="1252" t="str">
        <v>T68</v>
      </c>
      <c r="D244" s="1252" t="str">
        <v>8环第5个法术准备标记</v>
      </c>
      <c r="E244" t="str">
        <v>input</v>
      </c>
      <c r="F244" t="str">
        <v>conditional</v>
      </c>
    </row>
    <row r="245">
      <c r="A245" s="1252" t="str">
        <v>spell_8_5_name</v>
      </c>
      <c r="B245" s="1252" t="str">
        <v>法术卡</v>
      </c>
      <c r="C245" s="1252" t="str">
        <v>V68</v>
      </c>
      <c r="D245" s="1252" t="str">
        <v>8环第5个法术名</v>
      </c>
      <c r="E245" t="str">
        <v>input</v>
      </c>
      <c r="F245" t="str">
        <v>conditional</v>
      </c>
    </row>
    <row r="246">
      <c r="A246" s="1252" t="str">
        <v>spell_8_6_prepared</v>
      </c>
      <c r="B246" s="1252" t="str">
        <v>法术卡</v>
      </c>
      <c r="C246" s="1252" t="str">
        <v>T69</v>
      </c>
      <c r="D246" s="1252" t="str">
        <v>8环第6个法术准备标记</v>
      </c>
      <c r="E246" t="str">
        <v>input</v>
      </c>
      <c r="F246" t="str">
        <v>conditional</v>
      </c>
    </row>
    <row r="247">
      <c r="A247" s="1252" t="str">
        <v>spell_8_6_name</v>
      </c>
      <c r="B247" s="1252" t="str">
        <v>法术卡</v>
      </c>
      <c r="C247" s="1252" t="str">
        <v>V69</v>
      </c>
      <c r="D247" s="1252" t="str">
        <v>8环第6个法术名</v>
      </c>
      <c r="E247" t="str">
        <v>input</v>
      </c>
      <c r="F247" t="str">
        <v>conditional</v>
      </c>
    </row>
    <row r="248">
      <c r="A248" s="1252" t="str">
        <v>spell_8_7_prepared</v>
      </c>
      <c r="B248" s="1252" t="str">
        <v>法术卡</v>
      </c>
      <c r="C248" s="1252" t="str">
        <v>T70</v>
      </c>
      <c r="D248" s="1252" t="str">
        <v>8环第7个法术准备标记</v>
      </c>
      <c r="E248" t="str">
        <v>input</v>
      </c>
      <c r="F248" t="str">
        <v>conditional</v>
      </c>
    </row>
    <row r="249">
      <c r="A249" s="1252" t="str">
        <v>spell_8_7_name</v>
      </c>
      <c r="B249" s="1252" t="str">
        <v>法术卡</v>
      </c>
      <c r="C249" s="1252" t="str">
        <v>V70</v>
      </c>
      <c r="D249" s="1252" t="str">
        <v>8环第7个法术名</v>
      </c>
      <c r="E249" t="str">
        <v>input</v>
      </c>
      <c r="F249" t="str">
        <v>conditional</v>
      </c>
    </row>
    <row r="250">
      <c r="A250" s="1252" t="str">
        <v>spell_8_8_prepared</v>
      </c>
      <c r="B250" s="1252" t="str">
        <v>法术卡</v>
      </c>
      <c r="C250" s="1252" t="str">
        <v>T71</v>
      </c>
      <c r="D250" s="1252" t="str">
        <v>8环第8个法术准备标记</v>
      </c>
      <c r="E250" t="str">
        <v>input</v>
      </c>
      <c r="F250" t="str">
        <v>conditional</v>
      </c>
    </row>
    <row r="251">
      <c r="A251" s="1252" t="str">
        <v>spell_8_8_name</v>
      </c>
      <c r="B251" s="1252" t="str">
        <v>法术卡</v>
      </c>
      <c r="C251" s="1252" t="str">
        <v>V71</v>
      </c>
      <c r="D251" s="1252" t="str">
        <v>8环第8个法术名</v>
      </c>
      <c r="E251" t="str">
        <v>input</v>
      </c>
      <c r="F251" t="str">
        <v>conditional</v>
      </c>
    </row>
    <row r="252">
      <c r="A252" s="1252" t="str">
        <v>spell_8_9_prepared</v>
      </c>
      <c r="B252" s="1252" t="str">
        <v>法术卡</v>
      </c>
      <c r="C252" s="1252" t="str">
        <v>T72</v>
      </c>
      <c r="D252" s="1252" t="str">
        <v>8环第9个法术准备标记</v>
      </c>
      <c r="E252" t="str">
        <v>input</v>
      </c>
      <c r="F252" t="str">
        <v>conditional</v>
      </c>
    </row>
    <row r="253">
      <c r="A253" s="1252" t="str">
        <v>spell_8_9_name</v>
      </c>
      <c r="B253" s="1252" t="str">
        <v>法术卡</v>
      </c>
      <c r="C253" s="1252" t="str">
        <v>V72</v>
      </c>
      <c r="D253" s="1252" t="str">
        <v>8环第9个法术名</v>
      </c>
      <c r="E253" t="str">
        <v>input</v>
      </c>
      <c r="F253" t="str">
        <v>conditional</v>
      </c>
    </row>
    <row r="254">
      <c r="A254" s="1252" t="str">
        <v>spell_8_10_prepared</v>
      </c>
      <c r="B254" s="1252" t="str">
        <v>法术卡</v>
      </c>
      <c r="C254" s="1252" t="str">
        <v>T73</v>
      </c>
      <c r="D254" s="1252" t="str">
        <v>8环第10个法术准备标记</v>
      </c>
      <c r="E254" t="str">
        <v>input</v>
      </c>
      <c r="F254" t="str">
        <v>conditional</v>
      </c>
    </row>
    <row r="255">
      <c r="A255" s="1252" t="str">
        <v>spell_8_10_name</v>
      </c>
      <c r="B255" s="1252" t="str">
        <v>法术卡</v>
      </c>
      <c r="C255" s="1252" t="str">
        <v>V73</v>
      </c>
      <c r="D255" s="1252" t="str">
        <v>8环第10个法术名</v>
      </c>
      <c r="E255" t="str">
        <v>input</v>
      </c>
      <c r="F255" t="str">
        <v>conditional</v>
      </c>
    </row>
    <row r="256">
      <c r="A256" s="1252" t="str">
        <v>spell_9_1_prepared</v>
      </c>
      <c r="B256" s="1252" t="str">
        <v>法术卡</v>
      </c>
      <c r="C256" s="1252" t="str">
        <v>T82</v>
      </c>
      <c r="D256" s="1252" t="str">
        <v>9环第1个法术准备标记</v>
      </c>
      <c r="E256" t="str">
        <v>input</v>
      </c>
      <c r="F256" t="str">
        <v>conditional</v>
      </c>
    </row>
    <row r="257">
      <c r="A257" s="1252" t="str">
        <v>spell_9_1_name</v>
      </c>
      <c r="B257" s="1252" t="str">
        <v>法术卡</v>
      </c>
      <c r="C257" s="1252" t="str">
        <v>V82</v>
      </c>
      <c r="D257" s="1252" t="str">
        <v>9环第1个法术名</v>
      </c>
      <c r="E257" t="str">
        <v>input</v>
      </c>
      <c r="F257" t="str">
        <v>conditional</v>
      </c>
    </row>
    <row r="258">
      <c r="A258" s="1252" t="str">
        <v>spell_9_2_prepared</v>
      </c>
      <c r="B258" s="1252" t="str">
        <v>法术卡</v>
      </c>
      <c r="C258" s="1252" t="str">
        <v>T83</v>
      </c>
      <c r="D258" s="1252" t="str">
        <v>9环第2个法术准备标记</v>
      </c>
      <c r="E258" t="str">
        <v>input</v>
      </c>
      <c r="F258" t="str">
        <v>conditional</v>
      </c>
    </row>
    <row r="259">
      <c r="A259" s="1252" t="str">
        <v>spell_9_2_name</v>
      </c>
      <c r="B259" s="1252" t="str">
        <v>法术卡</v>
      </c>
      <c r="C259" s="1252" t="str">
        <v>V83</v>
      </c>
      <c r="D259" s="1252" t="str">
        <v>9环第2个法术名</v>
      </c>
      <c r="E259" t="str">
        <v>input</v>
      </c>
      <c r="F259" t="str">
        <v>conditional</v>
      </c>
    </row>
    <row r="260">
      <c r="A260" s="1252" t="str">
        <v>spell_9_3_prepared</v>
      </c>
      <c r="B260" s="1252" t="str">
        <v>法术卡</v>
      </c>
      <c r="C260" s="1252" t="str">
        <v>T84</v>
      </c>
      <c r="D260" s="1252" t="str">
        <v>9环第3个法术准备标记</v>
      </c>
      <c r="E260" t="str">
        <v>input</v>
      </c>
      <c r="F260" t="str">
        <v>conditional</v>
      </c>
    </row>
    <row r="261">
      <c r="A261" s="1252" t="str">
        <v>spell_9_3_name</v>
      </c>
      <c r="B261" s="1252" t="str">
        <v>法术卡</v>
      </c>
      <c r="C261" s="1252" t="str">
        <v>V84</v>
      </c>
      <c r="D261" s="1252" t="str">
        <v>9环第3个法术名</v>
      </c>
      <c r="E261" t="str">
        <v>input</v>
      </c>
      <c r="F261" t="str">
        <v>conditional</v>
      </c>
    </row>
    <row r="262">
      <c r="A262" s="1252" t="str">
        <v>spell_9_4_prepared</v>
      </c>
      <c r="B262" s="1252" t="str">
        <v>法术卡</v>
      </c>
      <c r="C262" s="1252" t="str">
        <v>T85</v>
      </c>
      <c r="D262" s="1252" t="str">
        <v>9环第4个法术准备标记</v>
      </c>
      <c r="E262" t="str">
        <v>input</v>
      </c>
      <c r="F262" t="str">
        <v>conditional</v>
      </c>
    </row>
    <row r="263">
      <c r="A263" s="1252" t="str">
        <v>spell_9_4_name</v>
      </c>
      <c r="B263" s="1252" t="str">
        <v>法术卡</v>
      </c>
      <c r="C263" s="1252" t="str">
        <v>V85</v>
      </c>
      <c r="D263" s="1252" t="str">
        <v>9环第4个法术名</v>
      </c>
      <c r="E263" t="str">
        <v>input</v>
      </c>
      <c r="F263" t="str">
        <v>conditional</v>
      </c>
    </row>
    <row r="264">
      <c r="A264" s="1252" t="str">
        <v>spell_9_5_prepared</v>
      </c>
      <c r="B264" s="1252" t="str">
        <v>法术卡</v>
      </c>
      <c r="C264" s="1252" t="str">
        <v>T86</v>
      </c>
      <c r="D264" s="1252" t="str">
        <v>9环第5个法术准备标记</v>
      </c>
      <c r="E264" t="str">
        <v>input</v>
      </c>
      <c r="F264" t="str">
        <v>conditional</v>
      </c>
    </row>
    <row r="265">
      <c r="A265" s="1252" t="str">
        <v>spell_9_5_name</v>
      </c>
      <c r="B265" s="1252" t="str">
        <v>法术卡</v>
      </c>
      <c r="C265" s="1252" t="str">
        <v>V86</v>
      </c>
      <c r="D265" s="1252" t="str">
        <v>9环第5个法术名</v>
      </c>
      <c r="E265" t="str">
        <v>input</v>
      </c>
      <c r="F265" t="str">
        <v>conditional</v>
      </c>
    </row>
    <row r="266">
      <c r="A266" s="1252" t="str">
        <v>spell_9_6_prepared</v>
      </c>
      <c r="B266" s="1252" t="str">
        <v>法术卡</v>
      </c>
      <c r="C266" s="1252" t="str">
        <v>T87</v>
      </c>
      <c r="D266" s="1252" t="str">
        <v>9环第6个法术准备标记</v>
      </c>
      <c r="E266" t="str">
        <v>input</v>
      </c>
      <c r="F266" t="str">
        <v>conditional</v>
      </c>
    </row>
    <row r="267">
      <c r="A267" s="1252" t="str">
        <v>spell_9_6_name</v>
      </c>
      <c r="B267" s="1252" t="str">
        <v>法术卡</v>
      </c>
      <c r="C267" s="1252" t="str">
        <v>V87</v>
      </c>
      <c r="D267" s="1252" t="str">
        <v>9环第6个法术名</v>
      </c>
      <c r="E267" t="str">
        <v>input</v>
      </c>
      <c r="F267" t="str">
        <v>conditional</v>
      </c>
    </row>
    <row r="268">
      <c r="A268" s="1252" t="str">
        <v>spell_9_7_prepared</v>
      </c>
      <c r="B268" s="1252" t="str">
        <v>法术卡</v>
      </c>
      <c r="C268" s="1252" t="str">
        <v>T88</v>
      </c>
      <c r="D268" s="1252" t="str">
        <v>9环第7个法术准备标记</v>
      </c>
      <c r="E268" t="str">
        <v>input</v>
      </c>
      <c r="F268" t="str">
        <v>conditional</v>
      </c>
    </row>
    <row r="269">
      <c r="A269" s="1252" t="str">
        <v>spell_9_7_name</v>
      </c>
      <c r="B269" s="1252" t="str">
        <v>法术卡</v>
      </c>
      <c r="C269" s="1252" t="str">
        <v>V88</v>
      </c>
      <c r="D269" s="1252" t="str">
        <v>9环第7个法术名</v>
      </c>
      <c r="E269" t="str">
        <v>input</v>
      </c>
      <c r="F269" t="str">
        <v>conditional</v>
      </c>
    </row>
    <row r="270">
      <c r="A270" s="1252" t="str">
        <v>spell_9_8_prepared</v>
      </c>
      <c r="B270" s="1252" t="str">
        <v>法术卡</v>
      </c>
      <c r="C270" s="1252" t="str">
        <v>T89</v>
      </c>
      <c r="D270" s="1252" t="str">
        <v>9环第8个法术准备标记</v>
      </c>
      <c r="E270" t="str">
        <v>input</v>
      </c>
      <c r="F270" t="str">
        <v>conditional</v>
      </c>
    </row>
    <row r="271">
      <c r="A271" s="1252" t="str">
        <v>spell_9_8_name</v>
      </c>
      <c r="B271" s="1252" t="str">
        <v>法术卡</v>
      </c>
      <c r="C271" s="1252" t="str">
        <v>V89</v>
      </c>
      <c r="D271" s="1252" t="str">
        <v>9环第8个法术名</v>
      </c>
      <c r="E271" t="str">
        <v>input</v>
      </c>
      <c r="F271" t="str">
        <v>conditional</v>
      </c>
    </row>
    <row r="272">
      <c r="A272" s="1252" t="str">
        <v>spell_9_9_prepared</v>
      </c>
      <c r="B272" s="1252" t="str">
        <v>法术卡</v>
      </c>
      <c r="C272" s="1252" t="str">
        <v>T90</v>
      </c>
      <c r="D272" s="1252" t="str">
        <v>9环第9个法术准备标记</v>
      </c>
      <c r="E272" t="str">
        <v>input</v>
      </c>
      <c r="F272" t="str">
        <v>conditional</v>
      </c>
    </row>
    <row r="273">
      <c r="A273" s="1252" t="str">
        <v>spell_9_9_name</v>
      </c>
      <c r="B273" s="1252" t="str">
        <v>法术卡</v>
      </c>
      <c r="C273" s="1252" t="str">
        <v>V90</v>
      </c>
      <c r="D273" s="1252" t="str">
        <v>9环第9个法术名</v>
      </c>
      <c r="E273" t="str">
        <v>input</v>
      </c>
      <c r="F273" t="str">
        <v>conditional</v>
      </c>
    </row>
    <row r="274">
      <c r="A274" s="1252" t="str">
        <v>spell_9_10_prepared</v>
      </c>
      <c r="B274" s="1252" t="str">
        <v>法术卡</v>
      </c>
      <c r="C274" s="1252" t="str">
        <v>T91</v>
      </c>
      <c r="D274" s="1252" t="str">
        <v>9环第10个法术准备标记</v>
      </c>
      <c r="E274" t="str">
        <v>input</v>
      </c>
      <c r="F274" t="str">
        <v>conditional</v>
      </c>
    </row>
    <row r="275">
      <c r="A275" s="1252" t="str">
        <v>spell_9_10_name</v>
      </c>
      <c r="B275" s="1252" t="str">
        <v>法术卡</v>
      </c>
      <c r="C275" s="1252" t="str">
        <v>V91</v>
      </c>
      <c r="D275" s="1252" t="str">
        <v>9环第10个法术名</v>
      </c>
      <c r="E275" t="str">
        <v>input</v>
      </c>
      <c r="F275" t="str">
        <v>conditional</v>
      </c>
    </row>
    <row r="276">
      <c r="A276" t="str">
        <v>str_mod</v>
      </c>
      <c r="B276" t="str">
        <v>角色卡</v>
      </c>
      <c r="C276" t="str">
        <v>E12</v>
      </c>
      <c r="D276" t="str">
        <v>STR 调整值缓存</v>
      </c>
      <c r="E276" t="str">
        <v>formula-cache</v>
      </c>
      <c r="F276" t="str">
        <v>required</v>
      </c>
    </row>
    <row r="277">
      <c r="A277" t="str">
        <v>dex_mod</v>
      </c>
      <c r="B277" t="str">
        <v>角色卡</v>
      </c>
      <c r="C277" t="str">
        <v>E19</v>
      </c>
      <c r="D277" t="str">
        <v>DEX 调整值缓存</v>
      </c>
      <c r="E277" t="str">
        <v>formula-cache</v>
      </c>
      <c r="F277" t="str">
        <v>required</v>
      </c>
    </row>
    <row r="278">
      <c r="A278" t="str">
        <v>con_mod</v>
      </c>
      <c r="B278" t="str">
        <v>角色卡</v>
      </c>
      <c r="C278" t="str">
        <v>E26</v>
      </c>
      <c r="D278" t="str">
        <v>CON 调整值缓存</v>
      </c>
      <c r="E278" t="str">
        <v>formula-cache</v>
      </c>
      <c r="F278" t="str">
        <v>required</v>
      </c>
    </row>
    <row r="279">
      <c r="A279" t="str">
        <v>int_mod</v>
      </c>
      <c r="B279" t="str">
        <v>角色卡</v>
      </c>
      <c r="C279" t="str">
        <v>E33</v>
      </c>
      <c r="D279" t="str">
        <v>INT 调整值缓存</v>
      </c>
      <c r="E279" t="str">
        <v>formula-cache</v>
      </c>
      <c r="F279" t="str">
        <v>required</v>
      </c>
    </row>
    <row r="280">
      <c r="A280" t="str">
        <v>wis_mod</v>
      </c>
      <c r="B280" t="str">
        <v>角色卡</v>
      </c>
      <c r="C280" t="str">
        <v>E40</v>
      </c>
      <c r="D280" t="str">
        <v>WIS 调整值缓存</v>
      </c>
      <c r="E280" t="str">
        <v>formula-cache</v>
      </c>
      <c r="F280" t="str">
        <v>required</v>
      </c>
    </row>
    <row r="281">
      <c r="A281" t="str">
        <v>cha_mod</v>
      </c>
      <c r="B281" t="str">
        <v>角色卡</v>
      </c>
      <c r="C281" t="str">
        <v>E47</v>
      </c>
      <c r="D281" t="str">
        <v>CHA 调整值缓存</v>
      </c>
      <c r="E281" t="str">
        <v>formula-cache</v>
      </c>
      <c r="F281" t="str">
        <v>required</v>
      </c>
    </row>
    <row r="282">
      <c r="A282" t="str">
        <v>proficiency_bonus</v>
      </c>
      <c r="B282" t="str">
        <v>角色卡</v>
      </c>
      <c r="C282" t="str">
        <v>R12</v>
      </c>
      <c r="D282" t="str">
        <v>熟练加值缓存</v>
      </c>
      <c r="E282" t="str">
        <v>formula-cache</v>
      </c>
      <c r="F282" t="str">
        <v>required</v>
      </c>
    </row>
    <row r="283">
      <c r="A283" t="str">
        <v>initiative</v>
      </c>
      <c r="B283" t="str">
        <v>角色卡</v>
      </c>
      <c r="C283" t="str">
        <v>V12</v>
      </c>
      <c r="D283" t="str">
        <v>先攻缓存</v>
      </c>
      <c r="E283" t="str">
        <v>formula-cache</v>
      </c>
      <c r="F283" t="str">
        <v>required</v>
      </c>
    </row>
    <row r="284">
      <c r="A284" t="str">
        <v>passive_perception</v>
      </c>
      <c r="B284" t="str">
        <v>角色卡</v>
      </c>
      <c r="C284" t="str">
        <v>A54</v>
      </c>
      <c r="D284" t="str">
        <v>被动感知缓存</v>
      </c>
      <c r="E284" t="str">
        <v>formula-cache</v>
      </c>
      <c r="F284" t="str">
        <v>required</v>
      </c>
    </row>
    <row r="285">
      <c r="A285" t="str">
        <v>save_str_value</v>
      </c>
      <c r="B285" t="str">
        <v>角色卡</v>
      </c>
      <c r="C285" t="str">
        <v>P11</v>
      </c>
      <c r="D285" t="str">
        <v>力量豁免缓存</v>
      </c>
      <c r="E285" t="str">
        <v>formula-cache</v>
      </c>
      <c r="F285" t="str">
        <v>required</v>
      </c>
    </row>
    <row r="286">
      <c r="A286" t="str">
        <v>save_dex_value</v>
      </c>
      <c r="B286" t="str">
        <v>角色卡</v>
      </c>
      <c r="C286" t="str">
        <v>P13</v>
      </c>
      <c r="D286" t="str">
        <v>敏捷豁免缓存</v>
      </c>
      <c r="E286" t="str">
        <v>formula-cache</v>
      </c>
      <c r="F286" t="str">
        <v>required</v>
      </c>
    </row>
    <row r="287">
      <c r="A287" t="str">
        <v>save_con_value</v>
      </c>
      <c r="B287" t="str">
        <v>角色卡</v>
      </c>
      <c r="C287" t="str">
        <v>P15</v>
      </c>
      <c r="D287" t="str">
        <v>体质豁免缓存</v>
      </c>
      <c r="E287" t="str">
        <v>formula-cache</v>
      </c>
      <c r="F287" t="str">
        <v>required</v>
      </c>
    </row>
    <row r="288">
      <c r="A288" t="str">
        <v>save_int_value</v>
      </c>
      <c r="B288" t="str">
        <v>角色卡</v>
      </c>
      <c r="C288" t="str">
        <v>P17</v>
      </c>
      <c r="D288" t="str">
        <v>智力豁免缓存</v>
      </c>
      <c r="E288" t="str">
        <v>formula-cache</v>
      </c>
      <c r="F288" t="str">
        <v>required</v>
      </c>
    </row>
    <row r="289">
      <c r="A289" t="str">
        <v>save_wis_value</v>
      </c>
      <c r="B289" t="str">
        <v>角色卡</v>
      </c>
      <c r="C289" t="str">
        <v>P19</v>
      </c>
      <c r="D289" t="str">
        <v>感知豁免缓存</v>
      </c>
      <c r="E289" t="str">
        <v>formula-cache</v>
      </c>
      <c r="F289" t="str">
        <v>required</v>
      </c>
    </row>
    <row r="290">
      <c r="A290" t="str">
        <v>save_cha_value</v>
      </c>
      <c r="B290" t="str">
        <v>角色卡</v>
      </c>
      <c r="C290" t="str">
        <v>P21</v>
      </c>
      <c r="D290" t="str">
        <v>魅力豁免缓存</v>
      </c>
      <c r="E290" t="str">
        <v>formula-cache</v>
      </c>
      <c r="F290" t="str">
        <v>required</v>
      </c>
    </row>
    <row r="291">
      <c r="A291" t="str">
        <v>skill_acrobatics_value</v>
      </c>
      <c r="B291" t="str">
        <v>角色卡</v>
      </c>
      <c r="C291" t="str">
        <v>Q26</v>
      </c>
      <c r="D291" t="str">
        <v>acrobatics 技能值缓存</v>
      </c>
      <c r="E291" t="str">
        <v>formula-cache</v>
      </c>
      <c r="F291" t="str">
        <v>required</v>
      </c>
    </row>
    <row r="292">
      <c r="A292" t="str">
        <v>skill_animal_handling_value</v>
      </c>
      <c r="B292" t="str">
        <v>角色卡</v>
      </c>
      <c r="C292" t="str">
        <v>Q27</v>
      </c>
      <c r="D292" t="str">
        <v>animal_handling 技能值缓存</v>
      </c>
      <c r="E292" t="str">
        <v>formula-cache</v>
      </c>
      <c r="F292" t="str">
        <v>required</v>
      </c>
    </row>
    <row r="293">
      <c r="A293" t="str">
        <v>skill_arcana_value</v>
      </c>
      <c r="B293" t="str">
        <v>角色卡</v>
      </c>
      <c r="C293" t="str">
        <v>Q28</v>
      </c>
      <c r="D293" t="str">
        <v>arcana 技能值缓存</v>
      </c>
      <c r="E293" t="str">
        <v>formula-cache</v>
      </c>
      <c r="F293" t="str">
        <v>required</v>
      </c>
    </row>
    <row r="294">
      <c r="A294" t="str">
        <v>skill_athletics_value</v>
      </c>
      <c r="B294" t="str">
        <v>角色卡</v>
      </c>
      <c r="C294" t="str">
        <v>Q29</v>
      </c>
      <c r="D294" t="str">
        <v>athletics 技能值缓存</v>
      </c>
      <c r="E294" t="str">
        <v>formula-cache</v>
      </c>
      <c r="F294" t="str">
        <v>required</v>
      </c>
    </row>
    <row r="295">
      <c r="A295" t="str">
        <v>skill_deception_value</v>
      </c>
      <c r="B295" t="str">
        <v>角色卡</v>
      </c>
      <c r="C295" t="str">
        <v>Q30</v>
      </c>
      <c r="D295" t="str">
        <v>deception 技能值缓存</v>
      </c>
      <c r="E295" t="str">
        <v>formula-cache</v>
      </c>
      <c r="F295" t="str">
        <v>required</v>
      </c>
    </row>
    <row r="296">
      <c r="A296" t="str">
        <v>skill_history_value</v>
      </c>
      <c r="B296" t="str">
        <v>角色卡</v>
      </c>
      <c r="C296" t="str">
        <v>Q31</v>
      </c>
      <c r="D296" t="str">
        <v>history 技能值缓存</v>
      </c>
      <c r="E296" t="str">
        <v>formula-cache</v>
      </c>
      <c r="F296" t="str">
        <v>required</v>
      </c>
    </row>
    <row r="297">
      <c r="A297" t="str">
        <v>skill_insight_value</v>
      </c>
      <c r="B297" t="str">
        <v>角色卡</v>
      </c>
      <c r="C297" t="str">
        <v>Q32</v>
      </c>
      <c r="D297" t="str">
        <v>insight 技能值缓存</v>
      </c>
      <c r="E297" t="str">
        <v>formula-cache</v>
      </c>
      <c r="F297" t="str">
        <v>required</v>
      </c>
    </row>
    <row r="298">
      <c r="A298" t="str">
        <v>skill_intimidation_value</v>
      </c>
      <c r="B298" t="str">
        <v>角色卡</v>
      </c>
      <c r="C298" t="str">
        <v>Q33</v>
      </c>
      <c r="D298" t="str">
        <v>intimidation 技能值缓存</v>
      </c>
      <c r="E298" t="str">
        <v>formula-cache</v>
      </c>
      <c r="F298" t="str">
        <v>required</v>
      </c>
    </row>
    <row r="299">
      <c r="A299" t="str">
        <v>skill_investigation_value</v>
      </c>
      <c r="B299" t="str">
        <v>角色卡</v>
      </c>
      <c r="C299" t="str">
        <v>Q34</v>
      </c>
      <c r="D299" t="str">
        <v>investigation 技能值缓存</v>
      </c>
      <c r="E299" t="str">
        <v>formula-cache</v>
      </c>
      <c r="F299" t="str">
        <v>required</v>
      </c>
    </row>
    <row r="300">
      <c r="A300" t="str">
        <v>skill_medicine_value</v>
      </c>
      <c r="B300" t="str">
        <v>角色卡</v>
      </c>
      <c r="C300" t="str">
        <v>Q35</v>
      </c>
      <c r="D300" t="str">
        <v>medicine 技能值缓存</v>
      </c>
      <c r="E300" t="str">
        <v>formula-cache</v>
      </c>
      <c r="F300" t="str">
        <v>required</v>
      </c>
    </row>
    <row r="301">
      <c r="A301" t="str">
        <v>skill_nature_value</v>
      </c>
      <c r="B301" t="str">
        <v>角色卡</v>
      </c>
      <c r="C301" t="str">
        <v>Q36</v>
      </c>
      <c r="D301" t="str">
        <v>nature 技能值缓存</v>
      </c>
      <c r="E301" t="str">
        <v>formula-cache</v>
      </c>
      <c r="F301" t="str">
        <v>required</v>
      </c>
    </row>
    <row r="302">
      <c r="A302" t="str">
        <v>skill_perception_value</v>
      </c>
      <c r="B302" t="str">
        <v>角色卡</v>
      </c>
      <c r="C302" t="str">
        <v>Q37</v>
      </c>
      <c r="D302" t="str">
        <v>perception 技能值缓存</v>
      </c>
      <c r="E302" t="str">
        <v>formula-cache</v>
      </c>
      <c r="F302" t="str">
        <v>required</v>
      </c>
    </row>
    <row r="303">
      <c r="A303" t="str">
        <v>skill_performance_value</v>
      </c>
      <c r="B303" t="str">
        <v>角色卡</v>
      </c>
      <c r="C303" t="str">
        <v>Q38</v>
      </c>
      <c r="D303" t="str">
        <v>performance 技能值缓存</v>
      </c>
      <c r="E303" t="str">
        <v>formula-cache</v>
      </c>
      <c r="F303" t="str">
        <v>required</v>
      </c>
    </row>
    <row r="304">
      <c r="A304" t="str">
        <v>skill_persuasion_value</v>
      </c>
      <c r="B304" t="str">
        <v>角色卡</v>
      </c>
      <c r="C304" t="str">
        <v>Q39</v>
      </c>
      <c r="D304" t="str">
        <v>persuasion 技能值缓存</v>
      </c>
      <c r="E304" t="str">
        <v>formula-cache</v>
      </c>
      <c r="F304" t="str">
        <v>required</v>
      </c>
    </row>
    <row r="305">
      <c r="A305" t="str">
        <v>skill_religion_value</v>
      </c>
      <c r="B305" t="str">
        <v>角色卡</v>
      </c>
      <c r="C305" t="str">
        <v>Q40</v>
      </c>
      <c r="D305" t="str">
        <v>religion 技能值缓存</v>
      </c>
      <c r="E305" t="str">
        <v>formula-cache</v>
      </c>
      <c r="F305" t="str">
        <v>required</v>
      </c>
    </row>
    <row r="306">
      <c r="A306" t="str">
        <v>skill_sleight_of_hand_value</v>
      </c>
      <c r="B306" t="str">
        <v>角色卡</v>
      </c>
      <c r="C306" t="str">
        <v>Q41</v>
      </c>
      <c r="D306" t="str">
        <v>sleight_of_hand 技能值缓存</v>
      </c>
      <c r="E306" t="str">
        <v>formula-cache</v>
      </c>
      <c r="F306" t="str">
        <v>required</v>
      </c>
    </row>
    <row r="307">
      <c r="A307" t="str">
        <v>skill_stealth_value</v>
      </c>
      <c r="B307" t="str">
        <v>角色卡</v>
      </c>
      <c r="C307" t="str">
        <v>Q42</v>
      </c>
      <c r="D307" t="str">
        <v>stealth 技能值缓存</v>
      </c>
      <c r="E307" t="str">
        <v>formula-cache</v>
      </c>
      <c r="F307" t="str">
        <v>required</v>
      </c>
    </row>
    <row r="308">
      <c r="A308" t="str">
        <v>skill_survival_value</v>
      </c>
      <c r="B308" t="str">
        <v>角色卡</v>
      </c>
      <c r="C308" t="str">
        <v>Q43</v>
      </c>
      <c r="D308" t="str">
        <v>survival 技能值缓存</v>
      </c>
      <c r="E308" t="str">
        <v>formula-cache</v>
      </c>
      <c r="F308" t="str">
        <v>required</v>
      </c>
    </row>
    <row r="309">
      <c r="A309" t="str">
        <v>cp</v>
      </c>
      <c r="B309" t="str">
        <v>角色卡</v>
      </c>
      <c r="C309" t="str">
        <v>M48</v>
      </c>
      <c r="D309" t="str">
        <v>铜币</v>
      </c>
      <c r="E309" t="str">
        <v>input</v>
      </c>
      <c r="F309" t="str">
        <v>required</v>
      </c>
    </row>
    <row r="310">
      <c r="A310" t="str">
        <v>sp</v>
      </c>
      <c r="B310" t="str">
        <v>角色卡</v>
      </c>
      <c r="C310" t="str">
        <v>M50</v>
      </c>
      <c r="D310" t="str">
        <v>银币</v>
      </c>
      <c r="E310" t="str">
        <v>input</v>
      </c>
      <c r="F310" t="str">
        <v>required</v>
      </c>
    </row>
    <row r="311">
      <c r="A311" t="str">
        <v>ep</v>
      </c>
      <c r="B311" t="str">
        <v>角色卡</v>
      </c>
      <c r="C311" t="str">
        <v>M52</v>
      </c>
      <c r="D311" t="str">
        <v>电金币</v>
      </c>
      <c r="E311" t="str">
        <v>input</v>
      </c>
      <c r="F311" t="str">
        <v>required</v>
      </c>
    </row>
    <row r="312">
      <c r="A312" t="str">
        <v>gp</v>
      </c>
      <c r="B312" t="str">
        <v>角色卡</v>
      </c>
      <c r="C312" t="str">
        <v>M54</v>
      </c>
      <c r="D312" t="str">
        <v>金币</v>
      </c>
      <c r="E312" t="str">
        <v>input</v>
      </c>
      <c r="F312" t="str">
        <v>required</v>
      </c>
    </row>
    <row r="313">
      <c r="A313" t="str">
        <v>pp</v>
      </c>
      <c r="B313" t="str">
        <v>角色卡</v>
      </c>
      <c r="C313" t="str">
        <v>M56</v>
      </c>
      <c r="D313" t="str">
        <v>白金币</v>
      </c>
      <c r="E313" t="str">
        <v>input</v>
      </c>
      <c r="F313" t="str">
        <v>required</v>
      </c>
    </row>
    <row r="314">
      <c r="A314" t="str">
        <v>profile_character_name</v>
      </c>
      <c r="B314" t="str">
        <v>人物资料</v>
      </c>
      <c r="C314" t="str">
        <v>A4</v>
      </c>
      <c r="D314" t="str">
        <v>人物资料角色名缓存</v>
      </c>
      <c r="E314" t="str">
        <v>formula-cache</v>
      </c>
      <c r="F314" t="str">
        <v>required</v>
      </c>
    </row>
    <row r="315">
      <c r="A315" t="str">
        <v>profile_class_level</v>
      </c>
      <c r="B315" t="str">
        <v>人物资料</v>
      </c>
      <c r="C315" t="str">
        <v>K4</v>
      </c>
      <c r="D315" t="str">
        <v>人物资料职业等级缓存</v>
      </c>
      <c r="E315" t="str">
        <v>formula-cache</v>
      </c>
      <c r="F315" t="str">
        <v>required</v>
      </c>
    </row>
    <row r="316">
      <c r="A316" t="str">
        <v>profile_race</v>
      </c>
      <c r="B316" t="str">
        <v>人物资料</v>
      </c>
      <c r="C316" t="str">
        <v>Q4</v>
      </c>
      <c r="D316" t="str">
        <v>人物资料种族缓存</v>
      </c>
      <c r="E316" t="str">
        <v>formula-cache</v>
      </c>
      <c r="F316" t="str">
        <v>required</v>
      </c>
    </row>
    <row r="317">
      <c r="A317" t="str">
        <v>profile_background</v>
      </c>
      <c r="B317" t="str">
        <v>人物资料</v>
      </c>
      <c r="C317" t="str">
        <v>W4</v>
      </c>
      <c r="D317" t="str">
        <v>人物资料背景缓存</v>
      </c>
      <c r="E317" t="str">
        <v>formula-cache</v>
      </c>
      <c r="F317" t="str">
        <v>required</v>
      </c>
    </row>
    <row r="318">
      <c r="A318" t="str">
        <v>spell_character_name</v>
      </c>
      <c r="B318" t="str">
        <v>法术卡</v>
      </c>
      <c r="C318" t="str">
        <v>A4</v>
      </c>
      <c r="D318" t="str">
        <v>法术卡角色名缓存</v>
      </c>
      <c r="E318" t="str">
        <v>formula-cache</v>
      </c>
      <c r="F318" t="str">
        <v>conditional</v>
      </c>
    </row>
    <row r="319">
      <c r="A319" t="str">
        <v>spell_save_dc</v>
      </c>
      <c r="B319" t="str">
        <v>法术卡</v>
      </c>
      <c r="C319" t="str">
        <v>W4</v>
      </c>
      <c r="D319" t="str">
        <v>法术豁免 DC 缓存</v>
      </c>
      <c r="E319" t="str">
        <v>formula-cache</v>
      </c>
      <c r="F319" t="str">
        <v>conditional</v>
      </c>
    </row>
    <row r="320">
      <c r="A320" t="str">
        <v>spell_attack_bonus</v>
      </c>
      <c r="B320" t="str">
        <v>法术卡</v>
      </c>
      <c r="C320" t="str">
        <v>AD4</v>
      </c>
      <c r="D320" t="str">
        <v>法术攻击加值缓存</v>
      </c>
      <c r="E320" t="str">
        <v>formula-cache</v>
      </c>
      <c r="F320" t="str">
        <v>conditional</v>
      </c>
    </row>
    <row r="321">
      <c r="A321" t="str">
        <v>spell_slot_1_total</v>
      </c>
      <c r="B321" t="str">
        <v>法术卡</v>
      </c>
      <c r="C321" t="str">
        <v>G25</v>
      </c>
      <c r="D321" t="str">
        <v>1 环法术位总数</v>
      </c>
      <c r="E321" t="str">
        <v>input</v>
      </c>
      <c r="F321" t="str">
        <v>conditional</v>
      </c>
    </row>
    <row r="322">
      <c r="A322" t="str">
        <v>spell_slot_2_total</v>
      </c>
      <c r="B322" t="str">
        <v>法术卡</v>
      </c>
      <c r="C322" t="str">
        <v>G43</v>
      </c>
      <c r="D322" t="str">
        <v>2 环法术位总数</v>
      </c>
      <c r="E322" t="str">
        <v>input</v>
      </c>
      <c r="F322" t="str">
        <v>conditional</v>
      </c>
    </row>
    <row r="323">
      <c r="A323" t="str">
        <v>spell_slot_3_total</v>
      </c>
      <c r="B323" t="str">
        <v>法术卡</v>
      </c>
      <c r="C323" t="str">
        <v>G61</v>
      </c>
      <c r="D323" t="str">
        <v>3 环法术位总数</v>
      </c>
      <c r="E323" t="str">
        <v>input</v>
      </c>
      <c r="F323" t="str">
        <v>conditional</v>
      </c>
    </row>
    <row r="324">
      <c r="A324" t="str">
        <v>spell_slot_4_total</v>
      </c>
      <c r="B324" t="str">
        <v>法术卡</v>
      </c>
      <c r="C324" t="str">
        <v>G79</v>
      </c>
      <c r="D324" t="str">
        <v>4 环法术位总数</v>
      </c>
      <c r="E324" t="str">
        <v>input</v>
      </c>
      <c r="F324" t="str">
        <v>conditional</v>
      </c>
    </row>
    <row r="325">
      <c r="A325" t="str">
        <v>spell_slot_5_total</v>
      </c>
      <c r="B325" t="str">
        <v>法术卡</v>
      </c>
      <c r="C325" t="str">
        <v>Z9</v>
      </c>
      <c r="D325" t="str">
        <v>5 环法术位总数</v>
      </c>
      <c r="E325" t="str">
        <v>input</v>
      </c>
      <c r="F325" t="str">
        <v>conditional</v>
      </c>
    </row>
    <row r="326">
      <c r="A326" t="str">
        <v>spell_slot_6_total</v>
      </c>
      <c r="B326" t="str">
        <v>法术卡</v>
      </c>
      <c r="C326" t="str">
        <v>Z27</v>
      </c>
      <c r="D326" t="str">
        <v>6 环法术位总数</v>
      </c>
      <c r="E326" t="str">
        <v>input</v>
      </c>
      <c r="F326" t="str">
        <v>conditional</v>
      </c>
    </row>
    <row r="327">
      <c r="A327" t="str">
        <v>spell_slot_7_total</v>
      </c>
      <c r="B327" t="str">
        <v>法术卡</v>
      </c>
      <c r="C327" t="str">
        <v>Z45</v>
      </c>
      <c r="D327" t="str">
        <v>7 环法术位总数</v>
      </c>
      <c r="E327" t="str">
        <v>input</v>
      </c>
      <c r="F327" t="str">
        <v>conditional</v>
      </c>
    </row>
    <row r="328">
      <c r="A328" t="str">
        <v>spell_slot_8_total</v>
      </c>
      <c r="B328" t="str">
        <v>法术卡</v>
      </c>
      <c r="C328" t="str">
        <v>Z63</v>
      </c>
      <c r="D328" t="str">
        <v>8 环法术位总数</v>
      </c>
      <c r="E328" t="str">
        <v>input</v>
      </c>
      <c r="F328" t="str">
        <v>conditional</v>
      </c>
    </row>
    <row r="329">
      <c r="A329" t="str">
        <v>spell_slot_9_total</v>
      </c>
      <c r="B329" t="str">
        <v>法术卡</v>
      </c>
      <c r="C329" t="str">
        <v>Z81</v>
      </c>
      <c r="D329" t="str">
        <v>9 环法术位总数</v>
      </c>
      <c r="E329" t="str">
        <v>input</v>
      </c>
      <c r="F329" t="str">
        <v>conditional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RowHeight="15"/>
  <cols>
    <col min="1" max="1" width="18" hidden="0" customWidth="1"/>
    <col min="2" max="2" width="90" hidden="0" customWidth="1"/>
  </cols>
  <sheetData>
    <row r="1">
      <c r="A1" s="1258" t="str">
        <v>项目</v>
      </c>
      <c r="B1" s="1258" t="str">
        <v>说明</v>
      </c>
    </row>
    <row r="2">
      <c r="A2" s="1262" t="str">
        <v>定位</v>
      </c>
      <c r="B2" s="1259" t="str">
        <v>参考你提供的 Automated 5e Character Sheet 的“直接在卡面编辑 + 自动联动”思路重新制作；不是直接复制原文件。</v>
      </c>
    </row>
    <row r="3">
      <c r="A3" s="1262" t="str">
        <v>版本</v>
      </c>
      <c r="B3" s="1259" t="str">
        <v>D&amp;D 5E 2014 风格字段结构。</v>
      </c>
    </row>
    <row r="4">
      <c r="A4" s="1262" t="str">
        <v>不包含</v>
      </c>
      <c r="B4" s="1259" t="str">
        <v>不包含参考文件右侧的“ABILITY SCORE ROLLS / 属性掷骰生成”功能，也不使用 VBA 宏。</v>
      </c>
    </row>
    <row r="5">
      <c r="A5" s="1262" t="str">
        <v>输入颜色</v>
      </c>
      <c r="B5" s="1259" t="str">
        <v>浅黄色 = 用户或网站需要写入的单元格。</v>
      </c>
    </row>
    <row r="6">
      <c r="A6" s="1262" t="str">
        <v>自动颜色</v>
      </c>
      <c r="B6" s="1259" t="str">
        <v>浅蓝色 = Excel 公式自动计算，不建议直接覆盖。</v>
      </c>
    </row>
    <row r="7">
      <c r="A7" s="1262" t="str">
        <v>技能标记</v>
      </c>
      <c r="B7" s="1259" t="str">
        <v>空白=不熟练；●=熟练；◆=专精。</v>
      </c>
    </row>
    <row r="8">
      <c r="A8" s="1262" t="str">
        <v>豁免标记</v>
      </c>
      <c r="B8" s="1259" t="str">
        <v>空白=不熟练；●=熟练。</v>
      </c>
    </row>
    <row r="9">
      <c r="A9" s="1262" t="str">
        <v>自动计算</v>
      </c>
      <c r="B9" s="1259" t="str">
        <v>属性调整值、熟练加值、豁免、18项技能、先攻、被动察觉、法术豁免 DC、法术攻击加值。</v>
      </c>
    </row>
    <row r="10">
      <c r="A10" s="1262" t="str">
        <v>网站导出</v>
      </c>
      <c r="B10" s="1259" t="str">
        <v>服务端按“字段映射”工作表写入对应目标单元格，再保存为新的 .xlsx。</v>
      </c>
    </row>
    <row r="11">
      <c r="A11" s="1262" t="str">
        <v>多职业</v>
      </c>
      <c r="B11" s="1259" t="str">
        <v>不根据职业名强行决定生命骰或豁免熟练，避免多职业角色被模板错误覆盖；这些字段由网站写入或用户填写。</v>
      </c>
    </row>
    <row r="12">
      <c r="A12" s="1262" t="str">
        <v>宏</v>
      </c>
      <c r="B12" s="1259" t="str">
        <v>标准 .xlsx，无宏，适合 ExcelJS、SheetJS、EPPlus、ClosedXML 等方案。</v>
      </c>
    </row>
  </sheetData>
  <pageMargins left="0.7" right="0.7" top="0.75" bottom="0.75" header="0.3" footer="0.3"/>
</worksheet>
</file>